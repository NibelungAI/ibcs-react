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P&amp;L" sheetId="2" state="visible" r:id="rId4"/>
    <sheet name="Balance Sheet" sheetId="3" state="visible" r:id="rId5"/>
    <sheet name="Cash Flow" sheetId="4" state="visible" r:id="rId6"/>
    <sheet name="Monthly" sheetId="5" state="visible" r:id="rId7"/>
    <sheet name="Segments" sheetId="6" state="visible" r:id="rId8"/>
    <sheet name="Regions" sheetId="7" state="visible" r:id="rId9"/>
    <sheet name="KP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<sst xmlns="http://schemas.openxmlformats.org/spreadsheetml/2006/main" count="203" uniqueCount="169">
  <si>
    <t xml:space="preserve">Vantera Industrial Group AG</t>
  </si>
  <si>
    <t xml:space="preserve">Management reporting pack — FY 2025</t>
  </si>
  <si>
    <t xml:space="preserve">Legal entity</t>
  </si>
  <si>
    <t xml:space="preserve">Headquarters</t>
  </si>
  <si>
    <t xml:space="preserve">Graz, Austria</t>
  </si>
  <si>
    <t xml:space="preserve">Founded</t>
  </si>
  <si>
    <t xml:space="preserve">Listing</t>
  </si>
  <si>
    <t xml:space="preserve">Vienna Stock Exchange (prime market), ticker VNT</t>
  </si>
  <si>
    <t xml:space="preserve">Website</t>
  </si>
  <si>
    <t xml:space="preserve">www.vantera-group.com</t>
  </si>
  <si>
    <t xml:space="preserve">Financial year</t>
  </si>
  <si>
    <t xml:space="preserve">FY 2025</t>
  </si>
  <si>
    <t xml:space="preserve">Reporting date</t>
  </si>
  <si>
    <t xml:space="preserve">31 December 2025</t>
  </si>
  <si>
    <t xml:space="preserve">Presentation currency</t>
  </si>
  <si>
    <t xml:space="preserve">EUR</t>
  </si>
  <si>
    <t xml:space="preserve">Units</t>
  </si>
  <si>
    <t xml:space="preserve">TEUR (EUR thousands)</t>
  </si>
  <si>
    <t xml:space="preserve">Employees (FTE, average)</t>
  </si>
  <si>
    <t xml:space="preserve">Auditor</t>
  </si>
  <si>
    <t xml:space="preserve">Steiermark Wirtschaftsprüfung GmbH, Graz</t>
  </si>
  <si>
    <t xml:space="preserve">Reporting segments</t>
  </si>
  <si>
    <t xml:space="preserve">Drive Systems, Thermal Solutions, Industrial Services</t>
  </si>
  <si>
    <t xml:space="preserve">Prepared by</t>
  </si>
  <si>
    <t xml:space="preserve">Group Controlling</t>
  </si>
  <si>
    <t xml:space="preserve">Status</t>
  </si>
  <si>
    <t xml:space="preserve">Unaudited management accounts</t>
  </si>
  <si>
    <t xml:space="preserve">Notes</t>
  </si>
  <si>
    <t xml:space="preserve">• Figures are unaudited management accounts for the twelve months ended 31 December 2025.</t>
  </si>
  <si>
    <t xml:space="preserve">• PY = prior year (FY 2024 actual). PL = FY 2025 board-approved budget. FC = FY 2026 forecast (Nov-25 rolling forecast).</t>
  </si>
  <si>
    <t xml:space="preserve">• Depreciation and amortisation FY 2025: 27,400 TEUR (FY 2024: 25,100 TEUR).</t>
  </si>
  <si>
    <t xml:space="preserve">• The balance sheet is reported at actual and prior year only; no budgeted balance sheet is maintained.</t>
  </si>
  <si>
    <t xml:space="preserve">Consolidated income statement — FY 2025</t>
  </si>
  <si>
    <t xml:space="preserve">All figures in TEUR</t>
  </si>
  <si>
    <t xml:space="preserve">Line item</t>
  </si>
  <si>
    <t xml:space="preserve">AC 2025</t>
  </si>
  <si>
    <t xml:space="preserve">PY 2024</t>
  </si>
  <si>
    <t xml:space="preserve">PL 2025</t>
  </si>
  <si>
    <t xml:space="preserve">FC 2026</t>
  </si>
  <si>
    <t xml:space="preserve">Drive Systems</t>
  </si>
  <si>
    <t xml:space="preserve">Thermal Solutions</t>
  </si>
  <si>
    <t xml:space="preserve">Industrial Services</t>
  </si>
  <si>
    <t xml:space="preserve">Revenue</t>
  </si>
  <si>
    <t xml:space="preserve">Raw materials and consumables</t>
  </si>
  <si>
    <t xml:space="preserve">Direct labour</t>
  </si>
  <si>
    <t xml:space="preserve">Manufacturing overhead</t>
  </si>
  <si>
    <t xml:space="preserve">Cost of goods sold</t>
  </si>
  <si>
    <t xml:space="preserve">Gross profit</t>
  </si>
  <si>
    <t xml:space="preserve">Research and development</t>
  </si>
  <si>
    <t xml:space="preserve">Selling and distribution</t>
  </si>
  <si>
    <t xml:space="preserve">Administrative expenses</t>
  </si>
  <si>
    <t xml:space="preserve">Other operating income</t>
  </si>
  <si>
    <t xml:space="preserve">Other operating expenses</t>
  </si>
  <si>
    <t xml:space="preserve">EBIT</t>
  </si>
  <si>
    <t xml:space="preserve">Financial income</t>
  </si>
  <si>
    <t xml:space="preserve">Financial expenses</t>
  </si>
  <si>
    <t xml:space="preserve">Profit before tax</t>
  </si>
  <si>
    <t xml:space="preserve">Income tax expense</t>
  </si>
  <si>
    <t xml:space="preserve">Profit for the period</t>
  </si>
  <si>
    <t xml:space="preserve">Memo: depreciation and amortisation</t>
  </si>
  <si>
    <t xml:space="preserve">Memo: EBITDA</t>
  </si>
  <si>
    <t xml:space="preserve">AC = actual · PY = prior year · PL = plan/budget · FC = forecast. Costs are shown as negative amounts.</t>
  </si>
  <si>
    <t xml:space="preserve">Consolidated statement of financial position — 31 December 2025</t>
  </si>
  <si>
    <t xml:space="preserve">AC 31-12-2025</t>
  </si>
  <si>
    <t xml:space="preserve">PY 31-12-2024</t>
  </si>
  <si>
    <t xml:space="preserve">ASSETS</t>
  </si>
  <si>
    <t xml:space="preserve">Intangible assets and goodwill</t>
  </si>
  <si>
    <t xml:space="preserve">Property, plant and equipment</t>
  </si>
  <si>
    <t xml:space="preserve">Right-of-use assets</t>
  </si>
  <si>
    <t xml:space="preserve">Deferred tax assets</t>
  </si>
  <si>
    <t xml:space="preserve">Other non-current assets</t>
  </si>
  <si>
    <t xml:space="preserve">Non-current assets</t>
  </si>
  <si>
    <t xml:space="preserve">Inventories</t>
  </si>
  <si>
    <t xml:space="preserve">Trade receivables</t>
  </si>
  <si>
    <t xml:space="preserve">Contract assets</t>
  </si>
  <si>
    <t xml:space="preserve">Other current assets</t>
  </si>
  <si>
    <t xml:space="preserve">Cash and cash equivalents</t>
  </si>
  <si>
    <t xml:space="preserve">Current assets</t>
  </si>
  <si>
    <t xml:space="preserve">Total assets</t>
  </si>
  <si>
    <t xml:space="preserve">EQUITY AND LIABILITIES</t>
  </si>
  <si>
    <t xml:space="preserve">Share capital</t>
  </si>
  <si>
    <t xml:space="preserve">Capital reserves</t>
  </si>
  <si>
    <t xml:space="preserve">Retained earnings</t>
  </si>
  <si>
    <t xml:space="preserve">Other reserves</t>
  </si>
  <si>
    <t xml:space="preserve">Non-controlling interests</t>
  </si>
  <si>
    <t xml:space="preserve">Total equity</t>
  </si>
  <si>
    <t xml:space="preserve">Non-current financial debt</t>
  </si>
  <si>
    <t xml:space="preserve">Lease liabilities (non-current)</t>
  </si>
  <si>
    <t xml:space="preserve">Pension provisions</t>
  </si>
  <si>
    <t xml:space="preserve">Deferred tax liabilities</t>
  </si>
  <si>
    <t xml:space="preserve">Other non-current provisions</t>
  </si>
  <si>
    <t xml:space="preserve">Non-current liabilities</t>
  </si>
  <si>
    <t xml:space="preserve">Current financial debt</t>
  </si>
  <si>
    <t xml:space="preserve">Lease liabilities (current)</t>
  </si>
  <si>
    <t xml:space="preserve">Trade payables</t>
  </si>
  <si>
    <t xml:space="preserve">Contract liabilities</t>
  </si>
  <si>
    <t xml:space="preserve">Other current liabilities</t>
  </si>
  <si>
    <t xml:space="preserve">Current liabilities</t>
  </si>
  <si>
    <t xml:space="preserve">Total equity and liabilities</t>
  </si>
  <si>
    <t xml:space="preserve">Check: assets less equity and liabilities</t>
  </si>
  <si>
    <t xml:space="preserve">No budgeted balance sheet is prepared; actual and prior year only.</t>
  </si>
  <si>
    <t xml:space="preserve">Consolidated cash flow (indirect, condensed) — FY 2025</t>
  </si>
  <si>
    <t xml:space="preserve">EBITDA</t>
  </si>
  <si>
    <t xml:space="preserve">Change in net working capital</t>
  </si>
  <si>
    <t xml:space="preserve">Income taxes paid</t>
  </si>
  <si>
    <t xml:space="preserve">Interest paid, net</t>
  </si>
  <si>
    <t xml:space="preserve">Other non-cash items</t>
  </si>
  <si>
    <t xml:space="preserve">Net cash from operating activities</t>
  </si>
  <si>
    <t xml:space="preserve">Capital expenditure</t>
  </si>
  <si>
    <t xml:space="preserve">Free cash flow</t>
  </si>
  <si>
    <t xml:space="preserve">Dividends paid</t>
  </si>
  <si>
    <t xml:space="preserve">Net change in borrowings</t>
  </si>
  <si>
    <t xml:space="preserve">Lease payments</t>
  </si>
  <si>
    <t xml:space="preserve">Other financing and FX effects</t>
  </si>
  <si>
    <t xml:space="preserve">Net change in cash</t>
  </si>
  <si>
    <t xml:space="preserve">Monthly revenue and EBIT — FY 2025</t>
  </si>
  <si>
    <t xml:space="preserve">Measure / scenario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</si>
  <si>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</si>
  <si>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</si>
  <si>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</si>
  <si>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</si>
  <si>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</si>
  <si>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</si>
  <si>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</si>
  <si>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</si>
  <si>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</si>
  <si>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</si>
  <si>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</si>
  <si>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</si>
  <si>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 total</t>
  </si>
  <si>
    <t xml:space="preserve">AC 2025 actual</t>
  </si>
  <si>
    <t xml:space="preserve">PY 2024 actual</t>
  </si>
  <si>
    <t xml:space="preserve">PL 2025 budget</t>
  </si>
  <si>
    <t xml:space="preserve">Segment information — FY 2025</t>
  </si>
  <si>
    <t xml:space="preserve">Revenue and EBIT in TEUR; margin in % of segment revenue</t>
  </si>
  <si>
    <t xml:space="preserve">Segment</t>
  </si>
  <si>
    <t xml:space="preserve">Rev AC 2025</t>
  </si>
  <si>
    <t xml:space="preserve">Rev PY 2024</t>
  </si>
  <si>
    <t xml:space="preserve">Rev PL 2025</t>
  </si>
  <si>
    <t xml:space="preserve">EBIT AC 2025</t>
  </si>
  <si>
    <t xml:space="preserve">EBIT PY 2024</t>
  </si>
  <si>
    <t xml:space="preserve">EBIT PL 2025</t>
  </si>
  <si>
    <t xml:space="preserve">EBIT margin AC</t>
  </si>
  <si>
    <t xml:space="preserve">Corporate / consolidation</t>
  </si>
  <si>
    <t xml:space="preserve">Group</t>
  </si>
  <si>
    <t xml:space="preserve">Revenue by customer region — FY 2025</t>
  </si>
  <si>
    <t xml:space="preserve">Region</t>
  </si>
  <si>
    <t xml:space="preserve">Share AC</t>
  </si>
  <si>
    <t xml:space="preserve">DACH</t>
  </si>
  <si>
    <t xml:space="preserve">Rest of Europe</t>
  </si>
  <si>
    <t xml:space="preserve">North America</t>
  </si>
  <si>
    <t xml:space="preserve">Asia-Pacific</t>
  </si>
  <si>
    <t xml:space="preserve">Rest of world</t>
  </si>
  <si>
    <t xml:space="preserve">Total revenue</t>
  </si>
  <si>
    <t xml:space="preserve">Operating key figures — FY 2025</t>
  </si>
  <si>
    <t xml:space="preserve">Key figure</t>
  </si>
  <si>
    <t xml:space="preserve">Unit</t>
  </si>
  <si>
    <t xml:space="preserve">Order intake</t>
  </si>
  <si>
    <t xml:space="preserve">TEUR</t>
  </si>
  <si>
    <t xml:space="preserve">Order backlog (year-end)</t>
  </si>
  <si>
    <t xml:space="preserve">Book-to-bill</t>
  </si>
  <si>
    <t xml:space="preserve">x</t>
  </si>
  <si>
    <t xml:space="preserve">FTE</t>
  </si>
  <si>
    <t xml:space="preserve">Net working capital</t>
  </si>
  <si>
    <t xml:space="preserve">Net debt</t>
  </si>
  <si>
    <t xml:space="preserve">Days inventory outstanding</t>
  </si>
  <si>
    <t xml:space="preserve">days</t>
  </si>
  <si>
    <t xml:space="preserve">Days sales outstanding</t>
  </si>
  <si>
    <t xml:space="preserve">Days payables outstanding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</si>
</sst>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0\x"/>
    <numFmt numFmtId="168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247"/>
      <name val="Arial"/>
      <family val="0"/>
      <charset val="1"/>
    </font>
    <font>
      <sz val="11"/>
      <color rgb="FF5A6B7D"/>
      <name val="Arial"/>
      <family val="0"/>
      <charset val="1"/>
    </font>
    <font>
      <b val="true"/>
      <sz val="10"/>
      <color rgb="FF1F3247"/>
      <name val="Arial"/>
      <family val="0"/>
      <charset val="1"/>
    </font>
    <font>
      <sz val="10"/>
      <name val="Arial"/>
      <family val="0"/>
      <charset val="1"/>
    </font>
    <font>
      <sz val="9"/>
      <color rgb="FF5A6B7D"/>
      <name val="Arial"/>
      <family val="0"/>
      <charset val="1"/>
    </font>
    <font>
      <b val="true"/>
      <sz val="12"/>
      <color rgb="FF1F3247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247"/>
        <bgColor rgb="FF003366"/>
      </patternFill>
    </fill>
    <fill>
      <patternFill patternType="solid">
        <fgColor rgb="FFEDF0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2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0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0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n">
        <v>1974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n">
        <v>2486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9" customFormat="false" ht="15" hidden="false" customHeight="false" outlineLevel="0" collapsed="false">
      <c r="A19" s="3" t="s">
        <v>27</v>
      </c>
    </row>
    <row r="20" customFormat="false" ht="25.5" hidden="false" customHeight="true" outlineLevel="0" collapsed="false">
      <c r="A20" s="5" t="s">
        <v>28</v>
      </c>
      <c r="B20" s="5"/>
    </row>
    <row r="21" customFormat="false" ht="25.5" hidden="false" customHeight="true" outlineLevel="0" collapsed="false">
      <c r="A21" s="5" t="s">
        <v>29</v>
      </c>
      <c r="B21" s="5"/>
    </row>
    <row r="22" customFormat="false" ht="25.5" hidden="false" customHeight="true" outlineLevel="0" collapsed="false">
      <c r="A22" s="5" t="s">
        <v>30</v>
      </c>
      <c r="B22" s="5"/>
    </row>
    <row r="23" customFormat="false" ht="25.5" hidden="false" customHeight="true" outlineLevel="0" collapsed="false">
      <c r="A23" s="5" t="s">
        <v>31</v>
      </c>
      <c r="B23" s="5"/>
    </row>
  </sheetData>
  <mergeCells count="4">
    <mergeCell ref="A20:B20"/>
    <mergeCell ref="A21:B21"/>
    <mergeCell ref="A22:B2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6" t="s">
        <v>32</v>
      </c>
    </row>
    <row r="2" customFormat="false" ht="15" hidden="false" customHeight="false" outlineLevel="0" collapsed="false">
      <c r="A2" s="7" t="s">
        <v>33</v>
      </c>
    </row>
    <row r="4" customFormat="false" ht="27.75" hidden="false" customHeight="true" outlineLevel="0" collapsed="false">
      <c r="A4" s="8" t="s">
        <v>34</v>
      </c>
      <c r="B4" s="9" t="s">
        <v>35</v>
      </c>
      <c r="C4" s="9" t="s">
        <v>36</v>
      </c>
      <c r="D4" s="9" t="s">
        <v>37</v>
      </c>
      <c r="E4" s="9" t="s">
        <v>38</v>
      </c>
    </row>
    <row r="5" customFormat="false" ht="15" hidden="false" customHeight="false" outlineLevel="0" collapsed="false">
      <c r="A5" s="10" t="s">
        <v>39</v>
      </c>
      <c r="B5" s="11" t="n">
        <v>214800</v>
      </c>
      <c r="C5" s="11" t="n">
        <v>198400</v>
      </c>
      <c r="D5" s="11" t="n">
        <v>220000</v>
      </c>
      <c r="E5" s="11" t="n">
        <v>231000</v>
      </c>
    </row>
    <row r="6" customFormat="false" ht="15" hidden="false" customHeight="false" outlineLevel="0" collapsed="false">
      <c r="A6" s="10" t="s">
        <v>40</v>
      </c>
      <c r="B6" s="11" t="n">
        <v>121600</v>
      </c>
      <c r="C6" s="11" t="n">
        <v>108900</v>
      </c>
      <c r="D6" s="11" t="n">
        <v>118500</v>
      </c>
      <c r="E6" s="11" t="n">
        <v>134000</v>
      </c>
    </row>
    <row r="7" customFormat="false" ht="15" hidden="false" customHeight="false" outlineLevel="0" collapsed="false">
      <c r="A7" s="10" t="s">
        <v>41</v>
      </c>
      <c r="B7" s="11" t="n">
        <v>75900</v>
      </c>
      <c r="C7" s="11" t="n">
        <v>66200</v>
      </c>
      <c r="D7" s="11" t="n">
        <v>72000</v>
      </c>
      <c r="E7" s="11" t="n">
        <v>84500</v>
      </c>
    </row>
    <row r="8" customFormat="false" ht="15" hidden="false" customHeight="false" outlineLevel="0" collapsed="false">
      <c r="A8" s="12" t="s">
        <v>42</v>
      </c>
      <c r="B8" s="13" t="n">
        <f aca="false">SUM(B5:B7)</f>
        <v>412300</v>
      </c>
      <c r="C8" s="13" t="n">
        <f aca="false">SUM(C5:C7)</f>
        <v>373500</v>
      </c>
      <c r="D8" s="13" t="n">
        <f aca="false">SUM(D5:D7)</f>
        <v>410500</v>
      </c>
      <c r="E8" s="13" t="n">
        <f aca="false">SUM(E5:E7)</f>
        <v>449500</v>
      </c>
    </row>
    <row r="9" customFormat="false" ht="15" hidden="false" customHeight="false" outlineLevel="0" collapsed="false">
      <c r="A9" s="10" t="s">
        <v>43</v>
      </c>
      <c r="B9" s="11" t="n">
        <v>-168900</v>
      </c>
      <c r="C9" s="11" t="n">
        <v>-146700</v>
      </c>
      <c r="D9" s="11" t="n">
        <v>-161900</v>
      </c>
      <c r="E9" s="11" t="n">
        <v>-180100</v>
      </c>
    </row>
    <row r="10" customFormat="false" ht="15" hidden="false" customHeight="false" outlineLevel="0" collapsed="false">
      <c r="A10" s="10" t="s">
        <v>44</v>
      </c>
      <c r="B10" s="11" t="n">
        <v>-63400</v>
      </c>
      <c r="C10" s="11" t="n">
        <v>-58900</v>
      </c>
      <c r="D10" s="11" t="n">
        <v>-62700</v>
      </c>
      <c r="E10" s="11" t="n">
        <v>-68700</v>
      </c>
    </row>
    <row r="11" customFormat="false" ht="15" hidden="false" customHeight="false" outlineLevel="0" collapsed="false">
      <c r="A11" s="10" t="s">
        <v>45</v>
      </c>
      <c r="B11" s="11" t="n">
        <v>-34800</v>
      </c>
      <c r="C11" s="11" t="n">
        <v>-32100</v>
      </c>
      <c r="D11" s="11" t="n">
        <v>-34000</v>
      </c>
      <c r="E11" s="11" t="n">
        <v>-36600</v>
      </c>
    </row>
    <row r="12" customFormat="false" ht="15" hidden="false" customHeight="false" outlineLevel="0" collapsed="false">
      <c r="A12" s="12" t="s">
        <v>46</v>
      </c>
      <c r="B12" s="13" t="n">
        <f aca="false">SUM(B9:B11)</f>
        <v>-267100</v>
      </c>
      <c r="C12" s="13" t="n">
        <f aca="false">SUM(C9:C11)</f>
        <v>-237700</v>
      </c>
      <c r="D12" s="13" t="n">
        <f aca="false">SUM(D9:D11)</f>
        <v>-258600</v>
      </c>
      <c r="E12" s="13" t="n">
        <f aca="false">SUM(E9:E11)</f>
        <v>-285400</v>
      </c>
    </row>
    <row r="13" customFormat="false" ht="15" hidden="false" customHeight="false" outlineLevel="0" collapsed="false">
      <c r="A13" s="12" t="s">
        <v>47</v>
      </c>
      <c r="B13" s="13" t="n">
        <f aca="false">B8+B12</f>
        <v>145200</v>
      </c>
      <c r="C13" s="13" t="n">
        <f aca="false">C8+C12</f>
        <v>135800</v>
      </c>
      <c r="D13" s="13" t="n">
        <f aca="false">D8+D12</f>
        <v>151900</v>
      </c>
      <c r="E13" s="13" t="n">
        <f aca="false">E8+E12</f>
        <v>164100</v>
      </c>
    </row>
    <row r="14" customFormat="false" ht="15" hidden="false" customHeight="false" outlineLevel="0" collapsed="false">
      <c r="A14" s="10" t="s">
        <v>48</v>
      </c>
      <c r="B14" s="11" t="n">
        <v>-24600</v>
      </c>
      <c r="C14" s="11" t="n">
        <v>-21800</v>
      </c>
      <c r="D14" s="11" t="n">
        <v>-24000</v>
      </c>
      <c r="E14" s="11" t="n">
        <v>-27000</v>
      </c>
    </row>
    <row r="15" customFormat="false" ht="15" hidden="false" customHeight="false" outlineLevel="0" collapsed="false">
      <c r="A15" s="10" t="s">
        <v>49</v>
      </c>
      <c r="B15" s="11" t="n">
        <v>-41200</v>
      </c>
      <c r="C15" s="11" t="n">
        <v>-38900</v>
      </c>
      <c r="D15" s="11" t="n">
        <v>-41800</v>
      </c>
      <c r="E15" s="11" t="n">
        <v>-44500</v>
      </c>
    </row>
    <row r="16" customFormat="false" ht="15" hidden="false" customHeight="false" outlineLevel="0" collapsed="false">
      <c r="A16" s="10" t="s">
        <v>50</v>
      </c>
      <c r="B16" s="11" t="n">
        <v>-19400</v>
      </c>
      <c r="C16" s="11" t="n">
        <v>-18600</v>
      </c>
      <c r="D16" s="11" t="n">
        <v>-20100</v>
      </c>
      <c r="E16" s="11" t="n">
        <v>-20800</v>
      </c>
    </row>
    <row r="17" customFormat="false" ht="15" hidden="false" customHeight="false" outlineLevel="0" collapsed="false">
      <c r="A17" s="10" t="s">
        <v>51</v>
      </c>
      <c r="B17" s="11" t="n">
        <v>6200</v>
      </c>
      <c r="C17" s="11" t="n">
        <v>5400</v>
      </c>
      <c r="D17" s="11" t="n">
        <v>5000</v>
      </c>
      <c r="E17" s="11" t="n">
        <v>6000</v>
      </c>
    </row>
    <row r="18" customFormat="false" ht="15" hidden="false" customHeight="false" outlineLevel="0" collapsed="false">
      <c r="A18" s="10" t="s">
        <v>52</v>
      </c>
      <c r="B18" s="11" t="n">
        <v>-5900</v>
      </c>
      <c r="C18" s="11" t="n">
        <v>-4100</v>
      </c>
      <c r="D18" s="11" t="n">
        <v>-4500</v>
      </c>
      <c r="E18" s="11" t="n">
        <v>-5200</v>
      </c>
    </row>
    <row r="19" customFormat="false" ht="15" hidden="false" customHeight="false" outlineLevel="0" collapsed="false">
      <c r="A19" s="12" t="s">
        <v>53</v>
      </c>
      <c r="B19" s="13" t="n">
        <f aca="false">B13+SUM(B14:B18)</f>
        <v>60300</v>
      </c>
      <c r="C19" s="13" t="n">
        <f aca="false">C13+SUM(C14:C18)</f>
        <v>57800</v>
      </c>
      <c r="D19" s="13" t="n">
        <f aca="false">D13+SUM(D14:D18)</f>
        <v>66500</v>
      </c>
      <c r="E19" s="13" t="n">
        <f aca="false">E13+SUM(E14:E18)</f>
        <v>72600</v>
      </c>
    </row>
    <row r="20" customFormat="false" ht="15" hidden="false" customHeight="false" outlineLevel="0" collapsed="false">
      <c r="A20" s="10" t="s">
        <v>54</v>
      </c>
      <c r="B20" s="11" t="n">
        <v>1100</v>
      </c>
      <c r="C20" s="11" t="n">
        <v>700</v>
      </c>
      <c r="D20" s="11" t="n">
        <v>800</v>
      </c>
      <c r="E20" s="11" t="n">
        <v>1200</v>
      </c>
    </row>
    <row r="21" customFormat="false" ht="15" hidden="false" customHeight="false" outlineLevel="0" collapsed="false">
      <c r="A21" s="10" t="s">
        <v>55</v>
      </c>
      <c r="B21" s="11" t="n">
        <v>-6800</v>
      </c>
      <c r="C21" s="11" t="n">
        <v>-5200</v>
      </c>
      <c r="D21" s="11" t="n">
        <v>-6200</v>
      </c>
      <c r="E21" s="11" t="n">
        <v>-6400</v>
      </c>
    </row>
    <row r="22" customFormat="false" ht="15" hidden="false" customHeight="false" outlineLevel="0" collapsed="false">
      <c r="A22" s="12" t="s">
        <v>56</v>
      </c>
      <c r="B22" s="13" t="n">
        <f aca="false">B19+B20+B21</f>
        <v>54600</v>
      </c>
      <c r="C22" s="13" t="n">
        <f aca="false">C19+C20+C21</f>
        <v>53300</v>
      </c>
      <c r="D22" s="13" t="n">
        <f aca="false">D19+D20+D21</f>
        <v>61100</v>
      </c>
      <c r="E22" s="13" t="n">
        <f aca="false">E19+E20+E21</f>
        <v>67400</v>
      </c>
    </row>
    <row r="23" customFormat="false" ht="15" hidden="false" customHeight="false" outlineLevel="0" collapsed="false">
      <c r="A23" s="10" t="s">
        <v>57</v>
      </c>
      <c r="B23" s="11" t="n">
        <v>-13900</v>
      </c>
      <c r="C23" s="11" t="n">
        <v>-13600</v>
      </c>
      <c r="D23" s="11" t="n">
        <v>-15600</v>
      </c>
      <c r="E23" s="11" t="n">
        <v>-17200</v>
      </c>
    </row>
    <row r="24" customFormat="false" ht="15" hidden="false" customHeight="false" outlineLevel="0" collapsed="false">
      <c r="A24" s="12" t="s">
        <v>58</v>
      </c>
      <c r="B24" s="13" t="n">
        <f aca="false">B22+B23</f>
        <v>40700</v>
      </c>
      <c r="C24" s="13" t="n">
        <f aca="false">C22+C23</f>
        <v>39700</v>
      </c>
      <c r="D24" s="13" t="n">
        <f aca="false">D22+D23</f>
        <v>45500</v>
      </c>
      <c r="E24" s="13" t="n">
        <f aca="false">E22+E23</f>
        <v>50200</v>
      </c>
    </row>
    <row r="26" customFormat="false" ht="15" hidden="false" customHeight="false" outlineLevel="0" collapsed="false">
      <c r="A26" s="10" t="s">
        <v>59</v>
      </c>
      <c r="B26" s="11" t="n">
        <v>27400</v>
      </c>
      <c r="C26" s="11" t="n">
        <v>25100</v>
      </c>
      <c r="D26" s="11" t="n">
        <v>26800</v>
      </c>
      <c r="E26" s="11" t="n">
        <v>29100</v>
      </c>
    </row>
    <row r="27" customFormat="false" ht="15" hidden="false" customHeight="false" outlineLevel="0" collapsed="false">
      <c r="A27" s="12" t="s">
        <v>60</v>
      </c>
      <c r="B27" s="13" t="n">
        <f aca="false">B19+B26</f>
        <v>87700</v>
      </c>
      <c r="C27" s="13" t="n">
        <f aca="false">C19+C26</f>
        <v>82900</v>
      </c>
      <c r="D27" s="13" t="n">
        <f aca="false">D19+D26</f>
        <v>93300</v>
      </c>
      <c r="E27" s="13" t="n">
        <f aca="false">E19+E26</f>
        <v>101700</v>
      </c>
    </row>
    <row r="29" customFormat="false" ht="15" hidden="false" customHeight="false" outlineLevel="0" collapsed="false">
      <c r="A29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6" t="s">
        <v>62</v>
      </c>
    </row>
    <row r="2" customFormat="false" ht="15" hidden="false" customHeight="false" outlineLevel="0" collapsed="false">
      <c r="A2" s="7" t="s">
        <v>33</v>
      </c>
    </row>
    <row r="4" customFormat="false" ht="27.75" hidden="false" customHeight="true" outlineLevel="0" collapsed="false">
      <c r="A4" s="8" t="s">
        <v>34</v>
      </c>
      <c r="B4" s="9" t="s">
        <v>63</v>
      </c>
      <c r="C4" s="9" t="s">
        <v>64</v>
      </c>
    </row>
    <row r="5" customFormat="false" ht="15" hidden="false" customHeight="false" outlineLevel="0" collapsed="false">
      <c r="A5" s="3" t="s">
        <v>65</v>
      </c>
    </row>
    <row r="6" customFormat="false" ht="15" hidden="false" customHeight="false" outlineLevel="0" collapsed="false">
      <c r="A6" s="10" t="s">
        <v>66</v>
      </c>
      <c r="B6" s="11" t="n">
        <v>48600</v>
      </c>
      <c r="C6" s="11" t="n">
        <v>46900</v>
      </c>
    </row>
    <row r="7" customFormat="false" ht="15" hidden="false" customHeight="false" outlineLevel="0" collapsed="false">
      <c r="A7" s="10" t="s">
        <v>67</v>
      </c>
      <c r="B7" s="11" t="n">
        <v>132400</v>
      </c>
      <c r="C7" s="11" t="n">
        <v>124800</v>
      </c>
    </row>
    <row r="8" customFormat="false" ht="15" hidden="false" customHeight="false" outlineLevel="0" collapsed="false">
      <c r="A8" s="10" t="s">
        <v>68</v>
      </c>
      <c r="B8" s="11" t="n">
        <v>18900</v>
      </c>
      <c r="C8" s="11" t="n">
        <v>19700</v>
      </c>
    </row>
    <row r="9" customFormat="false" ht="15" hidden="false" customHeight="false" outlineLevel="0" collapsed="false">
      <c r="A9" s="10" t="s">
        <v>69</v>
      </c>
      <c r="B9" s="11" t="n">
        <v>7300</v>
      </c>
      <c r="C9" s="11" t="n">
        <v>6800</v>
      </c>
    </row>
    <row r="10" customFormat="false" ht="15" hidden="false" customHeight="false" outlineLevel="0" collapsed="false">
      <c r="A10" s="10" t="s">
        <v>70</v>
      </c>
      <c r="B10" s="11" t="n">
        <v>4100</v>
      </c>
      <c r="C10" s="11" t="n">
        <v>3900</v>
      </c>
    </row>
    <row r="11" customFormat="false" ht="15" hidden="false" customHeight="false" outlineLevel="0" collapsed="false">
      <c r="A11" s="12" t="s">
        <v>71</v>
      </c>
      <c r="B11" s="13" t="n">
        <f aca="false">SUM(B6:B10)</f>
        <v>211300</v>
      </c>
      <c r="C11" s="13" t="n">
        <f aca="false">SUM(C6:C10)</f>
        <v>202100</v>
      </c>
    </row>
    <row r="12" customFormat="false" ht="15" hidden="false" customHeight="false" outlineLevel="0" collapsed="false">
      <c r="A12" s="10" t="s">
        <v>72</v>
      </c>
      <c r="B12" s="11" t="n">
        <v>96700</v>
      </c>
      <c r="C12" s="11" t="n">
        <v>78400</v>
      </c>
    </row>
    <row r="13" customFormat="false" ht="15" hidden="false" customHeight="false" outlineLevel="0" collapsed="false">
      <c r="A13" s="10" t="s">
        <v>73</v>
      </c>
      <c r="B13" s="11" t="n">
        <v>71800</v>
      </c>
      <c r="C13" s="11" t="n">
        <v>61300</v>
      </c>
    </row>
    <row r="14" customFormat="false" ht="15" hidden="false" customHeight="false" outlineLevel="0" collapsed="false">
      <c r="A14" s="10" t="s">
        <v>74</v>
      </c>
      <c r="B14" s="11" t="n">
        <v>12400</v>
      </c>
      <c r="C14" s="11" t="n">
        <v>10900</v>
      </c>
    </row>
    <row r="15" customFormat="false" ht="15" hidden="false" customHeight="false" outlineLevel="0" collapsed="false">
      <c r="A15" s="10" t="s">
        <v>75</v>
      </c>
      <c r="B15" s="11" t="n">
        <v>9600</v>
      </c>
      <c r="C15" s="11" t="n">
        <v>8700</v>
      </c>
    </row>
    <row r="16" customFormat="false" ht="15" hidden="false" customHeight="false" outlineLevel="0" collapsed="false">
      <c r="A16" s="10" t="s">
        <v>76</v>
      </c>
      <c r="B16" s="11" t="n">
        <v>34200</v>
      </c>
      <c r="C16" s="11" t="n">
        <v>41600</v>
      </c>
    </row>
    <row r="17" customFormat="false" ht="15" hidden="false" customHeight="false" outlineLevel="0" collapsed="false">
      <c r="A17" s="12" t="s">
        <v>77</v>
      </c>
      <c r="B17" s="13" t="n">
        <f aca="false">SUM(B12:B16)</f>
        <v>224700</v>
      </c>
      <c r="C17" s="13" t="n">
        <f aca="false">SUM(C12:C16)</f>
        <v>200900</v>
      </c>
    </row>
    <row r="18" customFormat="false" ht="15" hidden="false" customHeight="false" outlineLevel="0" collapsed="false">
      <c r="A18" s="12" t="s">
        <v>78</v>
      </c>
      <c r="B18" s="13" t="n">
        <f aca="false">B11+B17</f>
        <v>436000</v>
      </c>
      <c r="C18" s="13" t="n">
        <f aca="false">C11+C17</f>
        <v>403000</v>
      </c>
    </row>
    <row r="20" customFormat="false" ht="15" hidden="false" customHeight="false" outlineLevel="0" collapsed="false">
      <c r="A20" s="3" t="s">
        <v>79</v>
      </c>
    </row>
    <row r="21" customFormat="false" ht="15" hidden="false" customHeight="false" outlineLevel="0" collapsed="false">
      <c r="A21" s="10" t="s">
        <v>80</v>
      </c>
      <c r="B21" s="11" t="n">
        <v>40000</v>
      </c>
      <c r="C21" s="11" t="n">
        <v>40000</v>
      </c>
    </row>
    <row r="22" customFormat="false" ht="15" hidden="false" customHeight="false" outlineLevel="0" collapsed="false">
      <c r="A22" s="10" t="s">
        <v>81</v>
      </c>
      <c r="B22" s="11" t="n">
        <v>28500</v>
      </c>
      <c r="C22" s="11" t="n">
        <v>28500</v>
      </c>
    </row>
    <row r="23" customFormat="false" ht="15" hidden="false" customHeight="false" outlineLevel="0" collapsed="false">
      <c r="A23" s="10" t="s">
        <v>82</v>
      </c>
      <c r="B23" s="11" t="n">
        <v>137900</v>
      </c>
      <c r="C23" s="11" t="n">
        <v>112600</v>
      </c>
    </row>
    <row r="24" customFormat="false" ht="15" hidden="false" customHeight="false" outlineLevel="0" collapsed="false">
      <c r="A24" s="10" t="s">
        <v>83</v>
      </c>
      <c r="B24" s="11" t="n">
        <v>-4800</v>
      </c>
      <c r="C24" s="11" t="n">
        <v>-3100</v>
      </c>
    </row>
    <row r="25" customFormat="false" ht="15" hidden="false" customHeight="false" outlineLevel="0" collapsed="false">
      <c r="A25" s="10" t="s">
        <v>84</v>
      </c>
      <c r="B25" s="11" t="n">
        <v>3600</v>
      </c>
      <c r="C25" s="11" t="n">
        <v>3200</v>
      </c>
    </row>
    <row r="26" customFormat="false" ht="15" hidden="false" customHeight="false" outlineLevel="0" collapsed="false">
      <c r="A26" s="12" t="s">
        <v>85</v>
      </c>
      <c r="B26" s="13" t="n">
        <f aca="false">SUM(B21:B25)</f>
        <v>205200</v>
      </c>
      <c r="C26" s="13" t="n">
        <f aca="false">SUM(C21:C25)</f>
        <v>181200</v>
      </c>
    </row>
    <row r="27" customFormat="false" ht="15" hidden="false" customHeight="false" outlineLevel="0" collapsed="false">
      <c r="A27" s="10" t="s">
        <v>86</v>
      </c>
      <c r="B27" s="11" t="n">
        <v>88400</v>
      </c>
      <c r="C27" s="11" t="n">
        <v>84300</v>
      </c>
    </row>
    <row r="28" customFormat="false" ht="15" hidden="false" customHeight="false" outlineLevel="0" collapsed="false">
      <c r="A28" s="10" t="s">
        <v>87</v>
      </c>
      <c r="B28" s="11" t="n">
        <v>14200</v>
      </c>
      <c r="C28" s="11" t="n">
        <v>15100</v>
      </c>
    </row>
    <row r="29" customFormat="false" ht="15" hidden="false" customHeight="false" outlineLevel="0" collapsed="false">
      <c r="A29" s="10" t="s">
        <v>88</v>
      </c>
      <c r="B29" s="11" t="n">
        <v>21700</v>
      </c>
      <c r="C29" s="11" t="n">
        <v>20400</v>
      </c>
    </row>
    <row r="30" customFormat="false" ht="15" hidden="false" customHeight="false" outlineLevel="0" collapsed="false">
      <c r="A30" s="10" t="s">
        <v>89</v>
      </c>
      <c r="B30" s="11" t="n">
        <v>6900</v>
      </c>
      <c r="C30" s="11" t="n">
        <v>6300</v>
      </c>
    </row>
    <row r="31" customFormat="false" ht="15" hidden="false" customHeight="false" outlineLevel="0" collapsed="false">
      <c r="A31" s="10" t="s">
        <v>90</v>
      </c>
      <c r="B31" s="11" t="n">
        <v>5400</v>
      </c>
      <c r="C31" s="11" t="n">
        <v>5000</v>
      </c>
    </row>
    <row r="32" customFormat="false" ht="15" hidden="false" customHeight="false" outlineLevel="0" collapsed="false">
      <c r="A32" s="12" t="s">
        <v>91</v>
      </c>
      <c r="B32" s="13" t="n">
        <f aca="false">SUM(B27:B31)</f>
        <v>136600</v>
      </c>
      <c r="C32" s="13" t="n">
        <f aca="false">SUM(C27:C31)</f>
        <v>131100</v>
      </c>
    </row>
    <row r="33" customFormat="false" ht="15" hidden="false" customHeight="false" outlineLevel="0" collapsed="false">
      <c r="A33" s="10" t="s">
        <v>92</v>
      </c>
      <c r="B33" s="11" t="n">
        <v>21500</v>
      </c>
      <c r="C33" s="11" t="n">
        <v>24800</v>
      </c>
    </row>
    <row r="34" customFormat="false" ht="15" hidden="false" customHeight="false" outlineLevel="0" collapsed="false">
      <c r="A34" s="10" t="s">
        <v>93</v>
      </c>
      <c r="B34" s="11" t="n">
        <v>5100</v>
      </c>
      <c r="C34" s="11" t="n">
        <v>4900</v>
      </c>
    </row>
    <row r="35" customFormat="false" ht="15" hidden="false" customHeight="false" outlineLevel="0" collapsed="false">
      <c r="A35" s="10" t="s">
        <v>94</v>
      </c>
      <c r="B35" s="11" t="n">
        <v>42600</v>
      </c>
      <c r="C35" s="11" t="n">
        <v>40300</v>
      </c>
    </row>
    <row r="36" customFormat="false" ht="15" hidden="false" customHeight="false" outlineLevel="0" collapsed="false">
      <c r="A36" s="10" t="s">
        <v>95</v>
      </c>
      <c r="B36" s="11" t="n">
        <v>11300</v>
      </c>
      <c r="C36" s="11" t="n">
        <v>12700</v>
      </c>
    </row>
    <row r="37" customFormat="false" ht="15" hidden="false" customHeight="false" outlineLevel="0" collapsed="false">
      <c r="A37" s="10" t="s">
        <v>96</v>
      </c>
      <c r="B37" s="11" t="n">
        <v>13700</v>
      </c>
      <c r="C37" s="11" t="n">
        <v>8000</v>
      </c>
    </row>
    <row r="38" customFormat="false" ht="15" hidden="false" customHeight="false" outlineLevel="0" collapsed="false">
      <c r="A38" s="12" t="s">
        <v>97</v>
      </c>
      <c r="B38" s="13" t="n">
        <f aca="false">SUM(B33:B37)</f>
        <v>94200</v>
      </c>
      <c r="C38" s="13" t="n">
        <f aca="false">SUM(C33:C37)</f>
        <v>90700</v>
      </c>
    </row>
    <row r="39" customFormat="false" ht="15" hidden="false" customHeight="false" outlineLevel="0" collapsed="false">
      <c r="A39" s="12" t="s">
        <v>98</v>
      </c>
      <c r="B39" s="13" t="n">
        <f aca="false">B26+B32+B38</f>
        <v>436000</v>
      </c>
      <c r="C39" s="13" t="n">
        <f aca="false">C26+C32+C38</f>
        <v>403000</v>
      </c>
    </row>
    <row r="41" customFormat="false" ht="15" hidden="false" customHeight="false" outlineLevel="0" collapsed="false">
      <c r="A41" s="10" t="s">
        <v>99</v>
      </c>
      <c r="B41" s="11" t="n">
        <f aca="false">B18-B39</f>
        <v>0</v>
      </c>
      <c r="C41" s="11" t="n">
        <f aca="false">C18-C39</f>
        <v>0</v>
      </c>
    </row>
    <row r="43" customFormat="false" ht="15" hidden="false" customHeight="false" outlineLevel="0" collapsed="false">
      <c r="A43" s="7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6" t="s">
        <v>101</v>
      </c>
    </row>
    <row r="2" customFormat="false" ht="15" hidden="false" customHeight="false" outlineLevel="0" collapsed="false">
      <c r="A2" s="7" t="s">
        <v>33</v>
      </c>
    </row>
    <row r="4" customFormat="false" ht="27.75" hidden="false" customHeight="true" outlineLevel="0" collapsed="false">
      <c r="A4" s="8" t="s">
        <v>34</v>
      </c>
      <c r="B4" s="9" t="s">
        <v>35</v>
      </c>
      <c r="C4" s="9" t="s">
        <v>36</v>
      </c>
    </row>
    <row r="5" customFormat="false" ht="15" hidden="false" customHeight="false" outlineLevel="0" collapsed="false">
      <c r="A5" s="10" t="s">
        <v>102</v>
      </c>
      <c r="B5" s="11" t="n">
        <v>87700</v>
      </c>
      <c r="C5" s="11" t="n">
        <v>82900</v>
      </c>
    </row>
    <row r="6" customFormat="false" ht="15" hidden="false" customHeight="false" outlineLevel="0" collapsed="false">
      <c r="A6" s="10" t="s">
        <v>103</v>
      </c>
      <c r="B6" s="11" t="n">
        <v>-24300</v>
      </c>
      <c r="C6" s="11" t="n">
        <v>-8900</v>
      </c>
    </row>
    <row r="7" customFormat="false" ht="15" hidden="false" customHeight="false" outlineLevel="0" collapsed="false">
      <c r="A7" s="10" t="s">
        <v>104</v>
      </c>
      <c r="B7" s="11" t="n">
        <v>-14600</v>
      </c>
      <c r="C7" s="11" t="n">
        <v>-13100</v>
      </c>
    </row>
    <row r="8" customFormat="false" ht="15" hidden="false" customHeight="false" outlineLevel="0" collapsed="false">
      <c r="A8" s="10" t="s">
        <v>105</v>
      </c>
      <c r="B8" s="11" t="n">
        <v>-6300</v>
      </c>
      <c r="C8" s="11" t="n">
        <v>-4900</v>
      </c>
    </row>
    <row r="9" customFormat="false" ht="15" hidden="false" customHeight="false" outlineLevel="0" collapsed="false">
      <c r="A9" s="10" t="s">
        <v>106</v>
      </c>
      <c r="B9" s="11" t="n">
        <v>-2100</v>
      </c>
      <c r="C9" s="11" t="n">
        <v>-1400</v>
      </c>
    </row>
    <row r="10" customFormat="false" ht="15" hidden="false" customHeight="false" outlineLevel="0" collapsed="false">
      <c r="A10" s="12" t="s">
        <v>107</v>
      </c>
      <c r="B10" s="13" t="n">
        <f aca="false">SUM(B5:B9)</f>
        <v>40400</v>
      </c>
      <c r="C10" s="13" t="n">
        <f aca="false">SUM(C5:C9)</f>
        <v>54600</v>
      </c>
    </row>
    <row r="11" customFormat="false" ht="15" hidden="false" customHeight="false" outlineLevel="0" collapsed="false">
      <c r="A11" s="10" t="s">
        <v>108</v>
      </c>
      <c r="B11" s="11" t="n">
        <v>-31800</v>
      </c>
      <c r="C11" s="11" t="n">
        <v>-26400</v>
      </c>
    </row>
    <row r="12" customFormat="false" ht="15" hidden="false" customHeight="false" outlineLevel="0" collapsed="false">
      <c r="A12" s="12" t="s">
        <v>109</v>
      </c>
      <c r="B12" s="13" t="n">
        <f aca="false">B10+B11</f>
        <v>8600</v>
      </c>
      <c r="C12" s="13" t="n">
        <f aca="false">C10+C11</f>
        <v>28200</v>
      </c>
    </row>
    <row r="13" customFormat="false" ht="15" hidden="false" customHeight="false" outlineLevel="0" collapsed="false">
      <c r="A13" s="10" t="s">
        <v>110</v>
      </c>
      <c r="B13" s="11" t="n">
        <v>-15000</v>
      </c>
      <c r="C13" s="11" t="n">
        <v>-13200</v>
      </c>
    </row>
    <row r="14" customFormat="false" ht="15" hidden="false" customHeight="false" outlineLevel="0" collapsed="false">
      <c r="A14" s="10" t="s">
        <v>111</v>
      </c>
      <c r="B14" s="11" t="n">
        <v>2300</v>
      </c>
      <c r="C14" s="11" t="n">
        <v>-6800</v>
      </c>
    </row>
    <row r="15" customFormat="false" ht="15" hidden="false" customHeight="false" outlineLevel="0" collapsed="false">
      <c r="A15" s="10" t="s">
        <v>112</v>
      </c>
      <c r="B15" s="11" t="n">
        <v>-5100</v>
      </c>
      <c r="C15" s="11" t="n">
        <v>-4800</v>
      </c>
    </row>
    <row r="16" customFormat="false" ht="15" hidden="false" customHeight="false" outlineLevel="0" collapsed="false">
      <c r="A16" s="10" t="s">
        <v>113</v>
      </c>
      <c r="B16" s="11" t="n">
        <v>1800</v>
      </c>
      <c r="C16" s="11" t="n">
        <v>-1400</v>
      </c>
    </row>
    <row r="17" customFormat="false" ht="15" hidden="false" customHeight="false" outlineLevel="0" collapsed="false">
      <c r="A17" s="12" t="s">
        <v>114</v>
      </c>
      <c r="B17" s="13" t="n">
        <f aca="false">B12+SUM(B13:B16)</f>
        <v>-7400</v>
      </c>
      <c r="C17" s="13" t="n">
        <f aca="false">C12+SUM(C13:C16)</f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0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6" t="s">
        <v>115</v>
      </c>
    </row>
    <row r="2" customFormat="false" ht="15" hidden="false" customHeight="false" outlineLevel="0" collapsed="false">
      <c r="A2" s="7" t="s">
        <v>33</v>
      </c>
    </row>
    <row r="4" customFormat="false" ht="27.75" hidden="false" customHeight="true" outlineLevel="0" collapsed="false">
      <c r="A4" s="8" t="s">
        <v>116</v>
      </c>
      <c r="B4" s="9" t="s">
        <v>117</v>
      </c>
      <c r="C4" s="9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9" t="s">
        <v>124</v>
      </c>
      <c r="J4" s="9" t="s">
        <v>125</v>
      </c>
      <c r="K4" s="9" t="s">
        <v>126</v>
      </c>
      <c r="L4" s="9" t="s">
        <v>127</v>
      </c>
      <c r="M4" s="9" t="s">
        <v>128</v>
      </c>
      <c r="N4" s="9" t="s">
        <v>129</v>
      </c>
    </row>
    <row r="5" customFormat="false" ht="15" hidden="false" customHeight="false" outlineLevel="0" collapsed="false">
      <c r="A5" s="3" t="s">
        <v>42</v>
      </c>
    </row>
    <row r="6" customFormat="false" ht="15" hidden="false" customHeight="false" outlineLevel="0" collapsed="false">
      <c r="A6" s="10" t="s">
        <v>130</v>
      </c>
      <c r="B6" s="11" t="n">
        <v>29100</v>
      </c>
      <c r="C6" s="11" t="n">
        <v>31600</v>
      </c>
      <c r="D6" s="11" t="n">
        <v>37200</v>
      </c>
      <c r="E6" s="11" t="n">
        <v>33800</v>
      </c>
      <c r="F6" s="11" t="n">
        <v>34500</v>
      </c>
      <c r="G6" s="11" t="n">
        <v>38900</v>
      </c>
      <c r="H6" s="11" t="n">
        <v>33100</v>
      </c>
      <c r="I6" s="11" t="n">
        <v>26400</v>
      </c>
      <c r="J6" s="11" t="n">
        <v>37800</v>
      </c>
      <c r="K6" s="11" t="n">
        <v>35900</v>
      </c>
      <c r="L6" s="11" t="n">
        <v>35200</v>
      </c>
      <c r="M6" s="11" t="n">
        <v>38800</v>
      </c>
      <c r="N6" s="13" t="n">
        <f aca="false">SUM(B6:M6)</f>
        <v>412300</v>
      </c>
    </row>
    <row r="7" customFormat="false" ht="15" hidden="false" customHeight="false" outlineLevel="0" collapsed="false">
      <c r="A7" s="10" t="s">
        <v>131</v>
      </c>
      <c r="B7" s="11" t="n">
        <v>26800</v>
      </c>
      <c r="C7" s="11" t="n">
        <v>28900</v>
      </c>
      <c r="D7" s="11" t="n">
        <v>34100</v>
      </c>
      <c r="E7" s="11" t="n">
        <v>30600</v>
      </c>
      <c r="F7" s="11" t="n">
        <v>31200</v>
      </c>
      <c r="G7" s="11" t="n">
        <v>35400</v>
      </c>
      <c r="H7" s="11" t="n">
        <v>29900</v>
      </c>
      <c r="I7" s="11" t="n">
        <v>24100</v>
      </c>
      <c r="J7" s="11" t="n">
        <v>34200</v>
      </c>
      <c r="K7" s="11" t="n">
        <v>32600</v>
      </c>
      <c r="L7" s="11" t="n">
        <v>31700</v>
      </c>
      <c r="M7" s="11" t="n">
        <v>34000</v>
      </c>
      <c r="N7" s="13" t="n">
        <f aca="false">SUM(B7:M7)</f>
        <v>373500</v>
      </c>
    </row>
    <row r="8" customFormat="false" ht="15" hidden="false" customHeight="false" outlineLevel="0" collapsed="false">
      <c r="A8" s="10" t="s">
        <v>132</v>
      </c>
      <c r="B8" s="11" t="n">
        <v>29800</v>
      </c>
      <c r="C8" s="11" t="n">
        <v>31200</v>
      </c>
      <c r="D8" s="11" t="n">
        <v>36400</v>
      </c>
      <c r="E8" s="11" t="n">
        <v>33200</v>
      </c>
      <c r="F8" s="11" t="n">
        <v>34000</v>
      </c>
      <c r="G8" s="11" t="n">
        <v>38100</v>
      </c>
      <c r="H8" s="11" t="n">
        <v>32600</v>
      </c>
      <c r="I8" s="11" t="n">
        <v>26900</v>
      </c>
      <c r="J8" s="11" t="n">
        <v>37000</v>
      </c>
      <c r="K8" s="11" t="n">
        <v>35600</v>
      </c>
      <c r="L8" s="11" t="n">
        <v>35100</v>
      </c>
      <c r="M8" s="11" t="n">
        <v>40600</v>
      </c>
      <c r="N8" s="13" t="n">
        <f aca="false">SUM(B8:M8)</f>
        <v>410500</v>
      </c>
    </row>
    <row r="10" customFormat="false" ht="15" hidden="false" customHeight="false" outlineLevel="0" collapsed="false">
      <c r="A10" s="3" t="s">
        <v>53</v>
      </c>
    </row>
    <row r="11" customFormat="false" ht="15" hidden="false" customHeight="false" outlineLevel="0" collapsed="false">
      <c r="A11" s="10" t="s">
        <v>130</v>
      </c>
      <c r="B11" s="11" t="n">
        <v>3600</v>
      </c>
      <c r="C11" s="11" t="n">
        <v>4400</v>
      </c>
      <c r="D11" s="11" t="n">
        <v>5900</v>
      </c>
      <c r="E11" s="11" t="n">
        <v>4700</v>
      </c>
      <c r="F11" s="11" t="n">
        <v>4900</v>
      </c>
      <c r="G11" s="11" t="n">
        <v>6300</v>
      </c>
      <c r="H11" s="11" t="n">
        <v>4600</v>
      </c>
      <c r="I11" s="11" t="n">
        <v>2700</v>
      </c>
      <c r="J11" s="11" t="n">
        <v>5800</v>
      </c>
      <c r="K11" s="11" t="n">
        <v>5300</v>
      </c>
      <c r="L11" s="11" t="n">
        <v>5100</v>
      </c>
      <c r="M11" s="11" t="n">
        <v>7000</v>
      </c>
      <c r="N11" s="13" t="n">
        <f aca="false">SUM(B11:M11)</f>
        <v>60300</v>
      </c>
    </row>
    <row r="12" customFormat="false" ht="15" hidden="false" customHeight="false" outlineLevel="0" collapsed="false">
      <c r="A12" s="10" t="s">
        <v>131</v>
      </c>
      <c r="B12" s="11" t="n">
        <v>3400</v>
      </c>
      <c r="C12" s="11" t="n">
        <v>4100</v>
      </c>
      <c r="D12" s="11" t="n">
        <v>5600</v>
      </c>
      <c r="E12" s="11" t="n">
        <v>4400</v>
      </c>
      <c r="F12" s="11" t="n">
        <v>4600</v>
      </c>
      <c r="G12" s="11" t="n">
        <v>5900</v>
      </c>
      <c r="H12" s="11" t="n">
        <v>4300</v>
      </c>
      <c r="I12" s="11" t="n">
        <v>2600</v>
      </c>
      <c r="J12" s="11" t="n">
        <v>5500</v>
      </c>
      <c r="K12" s="11" t="n">
        <v>5000</v>
      </c>
      <c r="L12" s="11" t="n">
        <v>4800</v>
      </c>
      <c r="M12" s="11" t="n">
        <v>7600</v>
      </c>
      <c r="N12" s="13" t="n">
        <f aca="false">SUM(B12:M12)</f>
        <v>57800</v>
      </c>
    </row>
    <row r="13" customFormat="false" ht="15" hidden="false" customHeight="false" outlineLevel="0" collapsed="false">
      <c r="A13" s="10" t="s">
        <v>132</v>
      </c>
      <c r="B13" s="11" t="n">
        <v>4300</v>
      </c>
      <c r="C13" s="11" t="n">
        <v>4800</v>
      </c>
      <c r="D13" s="11" t="n">
        <v>6300</v>
      </c>
      <c r="E13" s="11" t="n">
        <v>5100</v>
      </c>
      <c r="F13" s="11" t="n">
        <v>5300</v>
      </c>
      <c r="G13" s="11" t="n">
        <v>6700</v>
      </c>
      <c r="H13" s="11" t="n">
        <v>5000</v>
      </c>
      <c r="I13" s="11" t="n">
        <v>3200</v>
      </c>
      <c r="J13" s="11" t="n">
        <v>6200</v>
      </c>
      <c r="K13" s="11" t="n">
        <v>5800</v>
      </c>
      <c r="L13" s="11" t="n">
        <v>5600</v>
      </c>
      <c r="M13" s="11" t="n">
        <v>8200</v>
      </c>
      <c r="N13" s="13" t="n">
        <f aca="false">SUM(B13:M13)</f>
        <v>66500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6" t="s">
        <v>133</v>
      </c>
    </row>
    <row r="2" customFormat="false" ht="15" hidden="false" customHeight="false" outlineLevel="0" collapsed="false">
      <c r="A2" s="7" t="s">
        <v>134</v>
      </c>
    </row>
    <row r="4" customFormat="false" ht="27.75" hidden="false" customHeight="true" outlineLevel="0" collapsed="false">
      <c r="A4" s="8" t="s">
        <v>135</v>
      </c>
      <c r="B4" s="9" t="s">
        <v>136</v>
      </c>
      <c r="C4" s="9" t="s">
        <v>137</v>
      </c>
      <c r="D4" s="9" t="s">
        <v>138</v>
      </c>
      <c r="E4" s="9" t="s">
        <v>139</v>
      </c>
      <c r="F4" s="9" t="s">
        <v>140</v>
      </c>
      <c r="G4" s="9" t="s">
        <v>141</v>
      </c>
      <c r="H4" s="9" t="s">
        <v>142</v>
      </c>
    </row>
    <row r="5" customFormat="false" ht="15" hidden="false" customHeight="false" outlineLevel="0" collapsed="false">
      <c r="A5" s="10" t="s">
        <v>39</v>
      </c>
      <c r="B5" s="11" t="n">
        <v>214800</v>
      </c>
      <c r="C5" s="11" t="n">
        <v>198400</v>
      </c>
      <c r="D5" s="11" t="n">
        <v>220000</v>
      </c>
      <c r="E5" s="11" t="n">
        <v>33200</v>
      </c>
      <c r="F5" s="11" t="n">
        <v>32900</v>
      </c>
      <c r="G5" s="11" t="n">
        <v>37400</v>
      </c>
      <c r="H5" s="14" t="n">
        <f aca="false">IFERROR(E5/B5,"")</f>
        <v>0.154562383612663</v>
      </c>
    </row>
    <row r="6" customFormat="false" ht="15" hidden="false" customHeight="false" outlineLevel="0" collapsed="false">
      <c r="A6" s="10" t="s">
        <v>40</v>
      </c>
      <c r="B6" s="11" t="n">
        <v>121600</v>
      </c>
      <c r="C6" s="11" t="n">
        <v>108900</v>
      </c>
      <c r="D6" s="11" t="n">
        <v>118500</v>
      </c>
      <c r="E6" s="11" t="n">
        <v>18900</v>
      </c>
      <c r="F6" s="11" t="n">
        <v>16200</v>
      </c>
      <c r="G6" s="11" t="n">
        <v>19600</v>
      </c>
      <c r="H6" s="14" t="n">
        <f aca="false">IFERROR(E6/B6,"")</f>
        <v>0.155427631578947</v>
      </c>
    </row>
    <row r="7" customFormat="false" ht="15" hidden="false" customHeight="false" outlineLevel="0" collapsed="false">
      <c r="A7" s="10" t="s">
        <v>41</v>
      </c>
      <c r="B7" s="11" t="n">
        <v>75900</v>
      </c>
      <c r="C7" s="11" t="n">
        <v>66200</v>
      </c>
      <c r="D7" s="11" t="n">
        <v>72000</v>
      </c>
      <c r="E7" s="11" t="n">
        <v>11100</v>
      </c>
      <c r="F7" s="11" t="n">
        <v>9400</v>
      </c>
      <c r="G7" s="11" t="n">
        <v>10900</v>
      </c>
      <c r="H7" s="14" t="n">
        <f aca="false">IFERROR(E7/B7,"")</f>
        <v>0.146245059288538</v>
      </c>
    </row>
    <row r="8" customFormat="false" ht="15" hidden="false" customHeight="false" outlineLevel="0" collapsed="false">
      <c r="A8" s="10" t="s">
        <v>143</v>
      </c>
      <c r="B8" s="11"/>
      <c r="C8" s="11"/>
      <c r="D8" s="11"/>
      <c r="E8" s="11" t="n">
        <v>-2900</v>
      </c>
      <c r="F8" s="11" t="n">
        <v>-700</v>
      </c>
      <c r="G8" s="11" t="n">
        <v>-1400</v>
      </c>
    </row>
    <row r="9" customFormat="false" ht="15" hidden="false" customHeight="false" outlineLevel="0" collapsed="false">
      <c r="A9" s="12" t="s">
        <v>144</v>
      </c>
      <c r="B9" s="13" t="n">
        <f aca="false">SUM(B5:B8)</f>
        <v>412300</v>
      </c>
      <c r="C9" s="13" t="n">
        <f aca="false">SUM(C5:C8)</f>
        <v>373500</v>
      </c>
      <c r="D9" s="13" t="n">
        <f aca="false">SUM(D5:D8)</f>
        <v>410500</v>
      </c>
      <c r="E9" s="13" t="n">
        <f aca="false">SUM(E5:E8)</f>
        <v>60300</v>
      </c>
      <c r="F9" s="13" t="n">
        <f aca="false">SUM(F5:F8)</f>
        <v>57800</v>
      </c>
      <c r="G9" s="13" t="n">
        <f aca="false">SUM(G5:G8)</f>
        <v>66500</v>
      </c>
      <c r="H9" s="15" t="n">
        <f aca="false">E9/B9</f>
        <v>0.146252728595683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5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6" t="s">
        <v>145</v>
      </c>
    </row>
    <row r="2" customFormat="false" ht="15" hidden="false" customHeight="false" outlineLevel="0" collapsed="false">
      <c r="A2" s="7" t="s">
        <v>33</v>
      </c>
    </row>
    <row r="4" customFormat="false" ht="27.75" hidden="false" customHeight="true" outlineLevel="0" collapsed="false">
      <c r="A4" s="8" t="s">
        <v>146</v>
      </c>
      <c r="B4" s="9" t="s">
        <v>35</v>
      </c>
      <c r="C4" s="9" t="s">
        <v>36</v>
      </c>
      <c r="D4" s="9" t="s">
        <v>147</v>
      </c>
    </row>
    <row r="5" customFormat="false" ht="15" hidden="false" customHeight="false" outlineLevel="0" collapsed="false">
      <c r="A5" s="10" t="s">
        <v>148</v>
      </c>
      <c r="B5" s="11" t="n">
        <v>148900</v>
      </c>
      <c r="C5" s="11" t="n">
        <v>141200</v>
      </c>
      <c r="D5" s="14" t="n">
        <f aca="false">B5/$B$10</f>
        <v>0.361144797477565</v>
      </c>
    </row>
    <row r="6" customFormat="false" ht="15" hidden="false" customHeight="false" outlineLevel="0" collapsed="false">
      <c r="A6" s="10" t="s">
        <v>149</v>
      </c>
      <c r="B6" s="11" t="n">
        <v>112600</v>
      </c>
      <c r="C6" s="11" t="n">
        <v>99800</v>
      </c>
      <c r="D6" s="14" t="n">
        <f aca="false">B6/$B$10</f>
        <v>0.273102110113995</v>
      </c>
    </row>
    <row r="7" customFormat="false" ht="15" hidden="false" customHeight="false" outlineLevel="0" collapsed="false">
      <c r="A7" s="10" t="s">
        <v>150</v>
      </c>
      <c r="B7" s="11" t="n">
        <v>84300</v>
      </c>
      <c r="C7" s="11" t="n">
        <v>71400</v>
      </c>
      <c r="D7" s="14" t="n">
        <f aca="false">B7/$B$10</f>
        <v>0.204462769827795</v>
      </c>
    </row>
    <row r="8" customFormat="false" ht="15" hidden="false" customHeight="false" outlineLevel="0" collapsed="false">
      <c r="A8" s="10" t="s">
        <v>151</v>
      </c>
      <c r="B8" s="11" t="n">
        <v>51700</v>
      </c>
      <c r="C8" s="11" t="n">
        <v>46300</v>
      </c>
      <c r="D8" s="14" t="n">
        <f aca="false">B8/$B$10</f>
        <v>0.125394130487509</v>
      </c>
    </row>
    <row r="9" customFormat="false" ht="15" hidden="false" customHeight="false" outlineLevel="0" collapsed="false">
      <c r="A9" s="10" t="s">
        <v>152</v>
      </c>
      <c r="B9" s="11" t="n">
        <v>14800</v>
      </c>
      <c r="C9" s="11" t="n">
        <v>14800</v>
      </c>
      <c r="D9" s="14" t="n">
        <f aca="false">B9/$B$10</f>
        <v>0.0358961920931361</v>
      </c>
    </row>
    <row r="10" customFormat="false" ht="15" hidden="false" customHeight="false" outlineLevel="0" collapsed="false">
      <c r="A10" s="12" t="s">
        <v>153</v>
      </c>
      <c r="B10" s="13" t="n">
        <f aca="false">SUM(B5:B9)</f>
        <v>412300</v>
      </c>
      <c r="C10" s="13" t="n">
        <f aca="false">SUM(C5:C9)</f>
        <v>373500</v>
      </c>
      <c r="D10" s="15" t="n">
        <f aca="false">B10/B10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5" min="3" style="0" width="15"/>
  </cols>
  <sheetData>
    <row r="1" customFormat="false" ht="15" hidden="false" customHeight="false" outlineLevel="0" collapsed="false">
      <c r="A1" s="6" t="s">
        <v>154</v>
      </c>
    </row>
    <row r="4" customFormat="false" ht="27.75" hidden="false" customHeight="true" outlineLevel="0" collapsed="false">
      <c r="A4" s="8" t="s">
        <v>155</v>
      </c>
      <c r="B4" s="9" t="s">
        <v>156</v>
      </c>
      <c r="C4" s="9" t="s">
        <v>35</v>
      </c>
      <c r="D4" s="9" t="s">
        <v>36</v>
      </c>
      <c r="E4" s="9" t="s">
        <v>37</v>
      </c>
    </row>
    <row r="5" customFormat="false" ht="15" hidden="false" customHeight="false" outlineLevel="0" collapsed="false">
      <c r="A5" s="10" t="s">
        <v>157</v>
      </c>
      <c r="B5" s="16" t="s">
        <v>158</v>
      </c>
      <c r="C5" s="11" t="n">
        <v>438600</v>
      </c>
      <c r="D5" s="11" t="n">
        <v>381200</v>
      </c>
      <c r="E5" s="11" t="n">
        <v>420000</v>
      </c>
    </row>
    <row r="6" customFormat="false" ht="15" hidden="false" customHeight="false" outlineLevel="0" collapsed="false">
      <c r="A6" s="10" t="s">
        <v>159</v>
      </c>
      <c r="B6" s="16" t="s">
        <v>158</v>
      </c>
      <c r="C6" s="11" t="n">
        <v>196400</v>
      </c>
      <c r="D6" s="11" t="n">
        <v>170100</v>
      </c>
    </row>
    <row r="7" customFormat="false" ht="15" hidden="false" customHeight="false" outlineLevel="0" collapsed="false">
      <c r="A7" s="10" t="s">
        <v>160</v>
      </c>
      <c r="B7" s="16" t="s">
        <v>161</v>
      </c>
      <c r="C7" s="17" t="n">
        <v>1.06</v>
      </c>
      <c r="D7" s="17" t="n">
        <v>1.02</v>
      </c>
    </row>
    <row r="8" customFormat="false" ht="15" hidden="false" customHeight="false" outlineLevel="0" collapsed="false">
      <c r="A8" s="10" t="s">
        <v>18</v>
      </c>
      <c r="B8" s="16" t="s">
        <v>162</v>
      </c>
      <c r="C8" s="11" t="n">
        <v>2486</v>
      </c>
      <c r="D8" s="11" t="n">
        <v>2391</v>
      </c>
      <c r="E8" s="11" t="n">
        <v>2450</v>
      </c>
    </row>
    <row r="9" customFormat="false" ht="15" hidden="false" customHeight="false" outlineLevel="0" collapsed="false">
      <c r="A9" s="10" t="s">
        <v>108</v>
      </c>
      <c r="B9" s="16" t="s">
        <v>158</v>
      </c>
      <c r="C9" s="11" t="n">
        <v>31800</v>
      </c>
      <c r="D9" s="11" t="n">
        <v>26400</v>
      </c>
      <c r="E9" s="11" t="n">
        <v>29500</v>
      </c>
    </row>
    <row r="10" customFormat="false" ht="15" hidden="false" customHeight="false" outlineLevel="0" collapsed="false">
      <c r="A10" s="10" t="s">
        <v>48</v>
      </c>
      <c r="B10" s="16" t="s">
        <v>158</v>
      </c>
      <c r="C10" s="11" t="n">
        <v>24600</v>
      </c>
      <c r="D10" s="11" t="n">
        <v>21800</v>
      </c>
      <c r="E10" s="11" t="n">
        <v>24000</v>
      </c>
    </row>
    <row r="11" customFormat="false" ht="15" hidden="false" customHeight="false" outlineLevel="0" collapsed="false">
      <c r="A11" s="10" t="s">
        <v>109</v>
      </c>
      <c r="B11" s="16" t="s">
        <v>158</v>
      </c>
      <c r="C11" s="11" t="n">
        <v>8600</v>
      </c>
      <c r="D11" s="11" t="n">
        <v>28200</v>
      </c>
      <c r="E11" s="11" t="n">
        <v>24000</v>
      </c>
    </row>
    <row r="12" customFormat="false" ht="15" hidden="false" customHeight="false" outlineLevel="0" collapsed="false">
      <c r="A12" s="10" t="s">
        <v>163</v>
      </c>
      <c r="B12" s="16" t="s">
        <v>158</v>
      </c>
      <c r="C12" s="11" t="n">
        <v>127000</v>
      </c>
      <c r="D12" s="11" t="n">
        <v>97600</v>
      </c>
    </row>
    <row r="13" customFormat="false" ht="15" hidden="false" customHeight="false" outlineLevel="0" collapsed="false">
      <c r="A13" s="10" t="s">
        <v>164</v>
      </c>
      <c r="B13" s="16" t="s">
        <v>158</v>
      </c>
      <c r="C13" s="11" t="n">
        <v>95000</v>
      </c>
      <c r="D13" s="11" t="n">
        <v>87500</v>
      </c>
    </row>
    <row r="14" customFormat="false" ht="15" hidden="false" customHeight="false" outlineLevel="0" collapsed="false">
      <c r="A14" s="10" t="s">
        <v>165</v>
      </c>
      <c r="B14" s="16" t="s">
        <v>166</v>
      </c>
      <c r="C14" s="18" t="n">
        <v>132.1</v>
      </c>
      <c r="D14" s="18" t="n">
        <v>120.4</v>
      </c>
    </row>
    <row r="15" customFormat="false" ht="15" hidden="false" customHeight="false" outlineLevel="0" collapsed="false">
      <c r="A15" s="10" t="s">
        <v>167</v>
      </c>
      <c r="B15" s="16" t="s">
        <v>166</v>
      </c>
      <c r="C15" s="18" t="n">
        <v>63.6</v>
      </c>
      <c r="D15" s="18" t="n">
        <v>59.9</v>
      </c>
    </row>
    <row r="16" customFormat="false" ht="15" hidden="false" customHeight="false" outlineLevel="0" collapsed="false">
      <c r="A16" s="10" t="s">
        <v>168</v>
      </c>
      <c r="B16" s="16" t="s">
        <v>166</v>
      </c>
      <c r="C16" s="18" t="n">
        <v>58.2</v>
      </c>
      <c r="D16" s="18" t="n">
        <v>61.9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2026-08-27T18:51:06Z</dcterms:created>
  <dc:creator>openpyxl</dc:creator>
  <dc:description/>
  <dc:language>en-US</dc:language>
  <cp:lastModifiedBy/>
  <dcterms:modified xsi:type="dcterms:W3CDTF">2026-08-27T18:51:06Z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