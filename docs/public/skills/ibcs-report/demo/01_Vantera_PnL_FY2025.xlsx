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<sst xmlns="http://schemas.openxmlformats.org/spreadsheetml/2006/main" count="29" uniqueCount="29">
  <si>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Vantera Industrial Group AG — consolidated income statement</t>
  </si>
  <si>
    <t xml:space="preserve">FY 2025 · all figures in TEUR · AC actual · PY prior year · PL budget · FC forecast</t>
  </si>
  <si>
    <t xml:space="preserve">Line item</t>
  </si>
  <si>
    <t xml:space="preserve">AC 2025</t>
  </si>
  <si>
    <t xml:space="preserve">PY 2024</t>
  </si>
  <si>
    <t xml:space="preserve">PL 2025</t>
  </si>
  <si>
    <t xml:space="preserve">FC 2026</t>
  </si>
  <si>
    <t xml:space="preserve">Drive Systems</t>
  </si>
  <si>
    <t xml:space="preserve">Thermal Solutions</t>
  </si>
  <si>
    <t xml:space="preserve">Industrial Services</t>
  </si>
  <si>
    <t xml:space="preserve">Revenue</t>
  </si>
  <si>
    <t xml:space="preserve">Raw materials and consumables</t>
  </si>
  <si>
    <t xml:space="preserve">Direct labour</t>
  </si>
  <si>
    <t xml:space="preserve">Manufacturing overhead</t>
  </si>
  <si>
    <t xml:space="preserve">Cost of goods sold</t>
  </si>
  <si>
    <t xml:space="preserve">Gross profit</t>
  </si>
  <si>
    <t xml:space="preserve">Research and development</t>
  </si>
  <si>
    <t xml:space="preserve">Selling and distribution</t>
  </si>
  <si>
    <t xml:space="preserve">Administrative expenses</t>
  </si>
  <si>
    <t xml:space="preserve">Other operating income</t>
  </si>
  <si>
    <t xml:space="preserve">Other operating expenses</t>
  </si>
  <si>
    <t xml:space="preserve">EBIT</t>
  </si>
  <si>
    <t xml:space="preserve">Financial income</t>
  </si>
  <si>
    <t xml:space="preserve">Financial expenses</t>
  </si>
  <si>
    <t xml:space="preserve">Profit before tax</t>
  </si>
  <si>
    <t xml:space="preserve">Income tax expense</t>
  </si>
  <si>
    <t xml:space="preserve">Profit for the period</t>
  </si>
  <si>
    <t xml:space="preserve">Memo: depreciation and amortisation</t>
  </si>
  <si>
    <t xml:space="preserve">Costs are shown as negative amounts. Unaudited management accounts.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</si>
</sst>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247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24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247"/>
        <bgColor rgb="FF003366"/>
      </patternFill>
    </fill>
    <fill>
      <patternFill patternType="solid">
        <fgColor rgb="FFEDF0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2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0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214800</v>
      </c>
      <c r="C5" s="6" t="n">
        <v>198400</v>
      </c>
      <c r="D5" s="6" t="n">
        <v>220000</v>
      </c>
      <c r="E5" s="6" t="n">
        <v>231000</v>
      </c>
    </row>
    <row r="6" customFormat="false" ht="15" hidden="false" customHeight="false" outlineLevel="0" collapsed="false">
      <c r="A6" s="5" t="s">
        <v>8</v>
      </c>
      <c r="B6" s="6" t="n">
        <v>121600</v>
      </c>
      <c r="C6" s="6" t="n">
        <v>108900</v>
      </c>
      <c r="D6" s="6" t="n">
        <v>118500</v>
      </c>
      <c r="E6" s="6" t="n">
        <v>134000</v>
      </c>
    </row>
    <row r="7" customFormat="false" ht="15" hidden="false" customHeight="false" outlineLevel="0" collapsed="false">
      <c r="A7" s="5" t="s">
        <v>9</v>
      </c>
      <c r="B7" s="6" t="n">
        <v>75900</v>
      </c>
      <c r="C7" s="6" t="n">
        <v>66200</v>
      </c>
      <c r="D7" s="6" t="n">
        <v>72000</v>
      </c>
      <c r="E7" s="6" t="n">
        <v>84500</v>
      </c>
    </row>
    <row r="8" customFormat="false" ht="15" hidden="false" customHeight="false" outlineLevel="0" collapsed="false">
      <c r="A8" s="7" t="s">
        <v>10</v>
      </c>
      <c r="B8" s="8" t="n">
        <f aca="false">SUM(B5:B7)</f>
        <v>412300</v>
      </c>
      <c r="C8" s="8" t="n">
        <f aca="false">SUM(C5:C7)</f>
        <v>373500</v>
      </c>
      <c r="D8" s="8" t="n">
        <f aca="false">SUM(D5:D7)</f>
        <v>410500</v>
      </c>
      <c r="E8" s="8" t="n">
        <f aca="false">SUM(E5:E7)</f>
        <v>449500</v>
      </c>
    </row>
    <row r="9" customFormat="false" ht="15" hidden="false" customHeight="false" outlineLevel="0" collapsed="false">
      <c r="A9" s="5" t="s">
        <v>11</v>
      </c>
      <c r="B9" s="6" t="n">
        <v>-168900</v>
      </c>
      <c r="C9" s="6" t="n">
        <v>-146700</v>
      </c>
      <c r="D9" s="6" t="n">
        <v>-161900</v>
      </c>
      <c r="E9" s="6" t="n">
        <v>-180100</v>
      </c>
    </row>
    <row r="10" customFormat="false" ht="15" hidden="false" customHeight="false" outlineLevel="0" collapsed="false">
      <c r="A10" s="5" t="s">
        <v>12</v>
      </c>
      <c r="B10" s="6" t="n">
        <v>-63400</v>
      </c>
      <c r="C10" s="6" t="n">
        <v>-58900</v>
      </c>
      <c r="D10" s="6" t="n">
        <v>-62700</v>
      </c>
      <c r="E10" s="6" t="n">
        <v>-68700</v>
      </c>
    </row>
    <row r="11" customFormat="false" ht="15" hidden="false" customHeight="false" outlineLevel="0" collapsed="false">
      <c r="A11" s="5" t="s">
        <v>13</v>
      </c>
      <c r="B11" s="6" t="n">
        <v>-34800</v>
      </c>
      <c r="C11" s="6" t="n">
        <v>-32100</v>
      </c>
      <c r="D11" s="6" t="n">
        <v>-34000</v>
      </c>
      <c r="E11" s="6" t="n">
        <v>-36600</v>
      </c>
    </row>
    <row r="12" customFormat="false" ht="15" hidden="false" customHeight="false" outlineLevel="0" collapsed="false">
      <c r="A12" s="7" t="s">
        <v>14</v>
      </c>
      <c r="B12" s="8" t="n">
        <f aca="false">SUM(B9:B11)</f>
        <v>-267100</v>
      </c>
      <c r="C12" s="8" t="n">
        <f aca="false">SUM(C9:C11)</f>
        <v>-237700</v>
      </c>
      <c r="D12" s="8" t="n">
        <f aca="false">SUM(D9:D11)</f>
        <v>-258600</v>
      </c>
      <c r="E12" s="8" t="n">
        <f aca="false">SUM(E9:E11)</f>
        <v>-285400</v>
      </c>
    </row>
    <row r="13" customFormat="false" ht="15" hidden="false" customHeight="false" outlineLevel="0" collapsed="false">
      <c r="A13" s="7" t="s">
        <v>15</v>
      </c>
      <c r="B13" s="8" t="n">
        <f aca="false">B8+B12</f>
        <v>145200</v>
      </c>
      <c r="C13" s="8" t="n">
        <f aca="false">C8+C12</f>
        <v>135800</v>
      </c>
      <c r="D13" s="8" t="n">
        <f aca="false">D8+D12</f>
        <v>151900</v>
      </c>
      <c r="E13" s="8" t="n">
        <f aca="false">E8+E12</f>
        <v>164100</v>
      </c>
    </row>
    <row r="14" customFormat="false" ht="15" hidden="false" customHeight="false" outlineLevel="0" collapsed="false">
      <c r="A14" s="5" t="s">
        <v>16</v>
      </c>
      <c r="B14" s="6" t="n">
        <v>-24600</v>
      </c>
      <c r="C14" s="6" t="n">
        <v>-21800</v>
      </c>
      <c r="D14" s="6" t="n">
        <v>-24000</v>
      </c>
      <c r="E14" s="6" t="n">
        <v>-27000</v>
      </c>
    </row>
    <row r="15" customFormat="false" ht="15" hidden="false" customHeight="false" outlineLevel="0" collapsed="false">
      <c r="A15" s="5" t="s">
        <v>17</v>
      </c>
      <c r="B15" s="6" t="n">
        <v>-41200</v>
      </c>
      <c r="C15" s="6" t="n">
        <v>-38900</v>
      </c>
      <c r="D15" s="6" t="n">
        <v>-41800</v>
      </c>
      <c r="E15" s="6" t="n">
        <v>-44500</v>
      </c>
    </row>
    <row r="16" customFormat="false" ht="15" hidden="false" customHeight="false" outlineLevel="0" collapsed="false">
      <c r="A16" s="5" t="s">
        <v>18</v>
      </c>
      <c r="B16" s="6" t="n">
        <v>-19400</v>
      </c>
      <c r="C16" s="6" t="n">
        <v>-18600</v>
      </c>
      <c r="D16" s="6" t="n">
        <v>-20100</v>
      </c>
      <c r="E16" s="6" t="n">
        <v>-20800</v>
      </c>
    </row>
    <row r="17" customFormat="false" ht="15" hidden="false" customHeight="false" outlineLevel="0" collapsed="false">
      <c r="A17" s="5" t="s">
        <v>19</v>
      </c>
      <c r="B17" s="6" t="n">
        <v>6200</v>
      </c>
      <c r="C17" s="6" t="n">
        <v>5400</v>
      </c>
      <c r="D17" s="6" t="n">
        <v>5000</v>
      </c>
      <c r="E17" s="6" t="n">
        <v>6000</v>
      </c>
    </row>
    <row r="18" customFormat="false" ht="15" hidden="false" customHeight="false" outlineLevel="0" collapsed="false">
      <c r="A18" s="5" t="s">
        <v>20</v>
      </c>
      <c r="B18" s="6" t="n">
        <v>-5900</v>
      </c>
      <c r="C18" s="6" t="n">
        <v>-4100</v>
      </c>
      <c r="D18" s="6" t="n">
        <v>-4500</v>
      </c>
      <c r="E18" s="6" t="n">
        <v>-5200</v>
      </c>
    </row>
    <row r="19" customFormat="false" ht="15" hidden="false" customHeight="false" outlineLevel="0" collapsed="false">
      <c r="A19" s="7" t="s">
        <v>21</v>
      </c>
      <c r="B19" s="8" t="n">
        <f aca="false">B13+SUM(B14:B18)</f>
        <v>60300</v>
      </c>
      <c r="C19" s="8" t="n">
        <f aca="false">C13+SUM(C14:C18)</f>
        <v>57800</v>
      </c>
      <c r="D19" s="8" t="n">
        <f aca="false">D13+SUM(D14:D18)</f>
        <v>66500</v>
      </c>
      <c r="E19" s="8" t="n">
        <f aca="false">E13+SUM(E14:E18)</f>
        <v>72600</v>
      </c>
    </row>
    <row r="20" customFormat="false" ht="15" hidden="false" customHeight="false" outlineLevel="0" collapsed="false">
      <c r="A20" s="5" t="s">
        <v>22</v>
      </c>
      <c r="B20" s="6" t="n">
        <v>1100</v>
      </c>
      <c r="C20" s="6" t="n">
        <v>700</v>
      </c>
      <c r="D20" s="6" t="n">
        <v>800</v>
      </c>
      <c r="E20" s="6" t="n">
        <v>1200</v>
      </c>
    </row>
    <row r="21" customFormat="false" ht="15" hidden="false" customHeight="false" outlineLevel="0" collapsed="false">
      <c r="A21" s="5" t="s">
        <v>23</v>
      </c>
      <c r="B21" s="6" t="n">
        <v>-6800</v>
      </c>
      <c r="C21" s="6" t="n">
        <v>-5200</v>
      </c>
      <c r="D21" s="6" t="n">
        <v>-6200</v>
      </c>
      <c r="E21" s="6" t="n">
        <v>-6400</v>
      </c>
    </row>
    <row r="22" customFormat="false" ht="15" hidden="false" customHeight="false" outlineLevel="0" collapsed="false">
      <c r="A22" s="7" t="s">
        <v>24</v>
      </c>
      <c r="B22" s="8" t="n">
        <f aca="false">B19+B20+B21</f>
        <v>54600</v>
      </c>
      <c r="C22" s="8" t="n">
        <f aca="false">C19+C20+C21</f>
        <v>53300</v>
      </c>
      <c r="D22" s="8" t="n">
        <f aca="false">D19+D20+D21</f>
        <v>61100</v>
      </c>
      <c r="E22" s="8" t="n">
        <f aca="false">E19+E20+E21</f>
        <v>67400</v>
      </c>
    </row>
    <row r="23" customFormat="false" ht="15" hidden="false" customHeight="false" outlineLevel="0" collapsed="false">
      <c r="A23" s="5" t="s">
        <v>25</v>
      </c>
      <c r="B23" s="6" t="n">
        <v>-13900</v>
      </c>
      <c r="C23" s="6" t="n">
        <v>-13600</v>
      </c>
      <c r="D23" s="6" t="n">
        <v>-15600</v>
      </c>
      <c r="E23" s="6" t="n">
        <v>-17200</v>
      </c>
    </row>
    <row r="24" customFormat="false" ht="15" hidden="false" customHeight="false" outlineLevel="0" collapsed="false">
      <c r="A24" s="7" t="s">
        <v>26</v>
      </c>
      <c r="B24" s="8" t="n">
        <f aca="false">B22+B23</f>
        <v>40700</v>
      </c>
      <c r="C24" s="8" t="n">
        <f aca="false">C22+C23</f>
        <v>39700</v>
      </c>
      <c r="D24" s="8" t="n">
        <f aca="false">D22+D23</f>
        <v>45500</v>
      </c>
      <c r="E24" s="8" t="n">
        <f aca="false">E22+E23</f>
        <v>50200</v>
      </c>
    </row>
    <row r="26" customFormat="false" ht="15" hidden="false" customHeight="false" outlineLevel="0" collapsed="false">
      <c r="A26" s="5" t="s">
        <v>27</v>
      </c>
      <c r="B26" s="6" t="n">
        <v>27400</v>
      </c>
      <c r="C26" s="6" t="n">
        <v>25100</v>
      </c>
      <c r="D26" s="6" t="n">
        <v>26800</v>
      </c>
      <c r="E26" s="6" t="n">
        <v>29100</v>
      </c>
    </row>
    <row r="28" customFormat="false" ht="15" hidden="false" customHeight="false" outlineLevel="0" collapsed="false">
      <c r="A28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2026-08-28T00:06:11Z</dcterms:created>
  <dc:creator>openpyxl</dc:creator>
  <dc:description/>
  <dc:language>en-US</dc:language>
  <cp:lastModifiedBy/>
  <dcterms:modified xsi:type="dcterms:W3CDTF">2026-08-28T00:06:11Z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