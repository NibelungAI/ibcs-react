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<sst xmlns="http://schemas.openxmlformats.org/spreadsheetml/2006/main" count="22" uniqueCount="22">
  <si>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Northbridge Logistics Ltd — profit and loss account</t>
  </si>
  <si>
    <t xml:space="preserve">Year ended 31 December 2025 · all figures in GBP thousands · actual and prior year only</t>
  </si>
  <si>
    <t xml:space="preserve">Line item</t>
  </si>
  <si>
    <t xml:space="preserve">FY2025</t>
  </si>
  <si>
    <t xml:space="preserve">FY2024</t>
  </si>
  <si>
    <t xml:space="preserve">Freight revenue</t>
  </si>
  <si>
    <t xml:space="preserve">Warehousing revenue</t>
  </si>
  <si>
    <t xml:space="preserve">Revenue</t>
  </si>
  <si>
    <t xml:space="preserve">Fuel and vehicle costs</t>
  </si>
  <si>
    <t xml:space="preserve">Driver and depot wages</t>
  </si>
  <si>
    <t xml:space="preserve">Subcontracted haulage</t>
  </si>
  <si>
    <t xml:space="preserve">Cost of sales</t>
  </si>
  <si>
    <t xml:space="preserve">Gross profit</t>
  </si>
  <si>
    <t xml:space="preserve">Administrative expenses</t>
  </si>
  <si>
    <t xml:space="preserve">Sales and marketing</t>
  </si>
  <si>
    <t xml:space="preserve">Other operating income</t>
  </si>
  <si>
    <t xml:space="preserve">Operating profit</t>
  </si>
  <si>
    <t xml:space="preserve">Net finance costs</t>
  </si>
  <si>
    <t xml:space="preserve">Profit before tax</t>
  </si>
  <si>
    <t xml:space="preserve">Tax</t>
  </si>
  <si>
    <t xml:space="preserve">Profit for the year</t>
  </si>
  <si>
    <t xml:space="preserve">Costs shown as negative amounts. Management accounts, unaudited. No budget is prepared.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</si>
</sst>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247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24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247"/>
        <bgColor rgb="FF003366"/>
      </patternFill>
    </fill>
    <fill>
      <patternFill patternType="solid">
        <fgColor rgb="FFEDF0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2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0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48200</v>
      </c>
      <c r="C5" s="6" t="n">
        <v>43100</v>
      </c>
    </row>
    <row r="6" customFormat="false" ht="15" hidden="false" customHeight="false" outlineLevel="0" collapsed="false">
      <c r="A6" s="5" t="s">
        <v>6</v>
      </c>
      <c r="B6" s="6" t="n">
        <v>17600</v>
      </c>
      <c r="C6" s="6" t="n">
        <v>15900</v>
      </c>
    </row>
    <row r="7" customFormat="false" ht="15" hidden="false" customHeight="false" outlineLevel="0" collapsed="false">
      <c r="A7" s="7" t="s">
        <v>7</v>
      </c>
      <c r="B7" s="8" t="n">
        <f aca="false">SUM(B5:B6)</f>
        <v>65800</v>
      </c>
      <c r="C7" s="8" t="n">
        <f aca="false">SUM(C5:C6)</f>
        <v>59000</v>
      </c>
    </row>
    <row r="8" customFormat="false" ht="15" hidden="false" customHeight="false" outlineLevel="0" collapsed="false">
      <c r="A8" s="5" t="s">
        <v>8</v>
      </c>
      <c r="B8" s="6" t="n">
        <v>-21400</v>
      </c>
      <c r="C8" s="6" t="n">
        <v>-17900</v>
      </c>
    </row>
    <row r="9" customFormat="false" ht="15" hidden="false" customHeight="false" outlineLevel="0" collapsed="false">
      <c r="A9" s="5" t="s">
        <v>9</v>
      </c>
      <c r="B9" s="6" t="n">
        <v>-19100</v>
      </c>
      <c r="C9" s="6" t="n">
        <v>-17600</v>
      </c>
    </row>
    <row r="10" customFormat="false" ht="15" hidden="false" customHeight="false" outlineLevel="0" collapsed="false">
      <c r="A10" s="5" t="s">
        <v>10</v>
      </c>
      <c r="B10" s="6" t="n">
        <v>-5900</v>
      </c>
      <c r="C10" s="6" t="n">
        <v>-5200</v>
      </c>
    </row>
    <row r="11" customFormat="false" ht="15" hidden="false" customHeight="false" outlineLevel="0" collapsed="false">
      <c r="A11" s="7" t="s">
        <v>11</v>
      </c>
      <c r="B11" s="8" t="n">
        <f aca="false">SUM(B8:B10)</f>
        <v>-46400</v>
      </c>
      <c r="C11" s="8" t="n">
        <f aca="false">SUM(C8:C10)</f>
        <v>-40700</v>
      </c>
    </row>
    <row r="12" customFormat="false" ht="15" hidden="false" customHeight="false" outlineLevel="0" collapsed="false">
      <c r="A12" s="7" t="s">
        <v>12</v>
      </c>
      <c r="B12" s="8" t="n">
        <f aca="false">B7+B11</f>
        <v>19400</v>
      </c>
      <c r="C12" s="8" t="n">
        <f aca="false">C7+C11</f>
        <v>18300</v>
      </c>
    </row>
    <row r="13" customFormat="false" ht="15" hidden="false" customHeight="false" outlineLevel="0" collapsed="false">
      <c r="A13" s="5" t="s">
        <v>13</v>
      </c>
      <c r="B13" s="6" t="n">
        <v>-8700</v>
      </c>
      <c r="C13" s="6" t="n">
        <v>-8100</v>
      </c>
    </row>
    <row r="14" customFormat="false" ht="15" hidden="false" customHeight="false" outlineLevel="0" collapsed="false">
      <c r="A14" s="5" t="s">
        <v>14</v>
      </c>
      <c r="B14" s="6" t="n">
        <v>-2400</v>
      </c>
      <c r="C14" s="6" t="n">
        <v>-2200</v>
      </c>
    </row>
    <row r="15" customFormat="false" ht="15" hidden="false" customHeight="false" outlineLevel="0" collapsed="false">
      <c r="A15" s="5" t="s">
        <v>15</v>
      </c>
      <c r="B15" s="6" t="n">
        <v>600</v>
      </c>
      <c r="C15" s="6" t="n">
        <v>500</v>
      </c>
    </row>
    <row r="16" customFormat="false" ht="15" hidden="false" customHeight="false" outlineLevel="0" collapsed="false">
      <c r="A16" s="7" t="s">
        <v>16</v>
      </c>
      <c r="B16" s="8" t="n">
        <f aca="false">B12+SUM(B13:B15)</f>
        <v>8900</v>
      </c>
      <c r="C16" s="8" t="n">
        <f aca="false">C12+SUM(C13:C15)</f>
        <v>8500</v>
      </c>
    </row>
    <row r="17" customFormat="false" ht="15" hidden="false" customHeight="false" outlineLevel="0" collapsed="false">
      <c r="A17" s="5" t="s">
        <v>17</v>
      </c>
      <c r="B17" s="6" t="n">
        <v>-1600</v>
      </c>
      <c r="C17" s="6" t="n">
        <v>-1200</v>
      </c>
    </row>
    <row r="18" customFormat="false" ht="15" hidden="false" customHeight="false" outlineLevel="0" collapsed="false">
      <c r="A18" s="7" t="s">
        <v>18</v>
      </c>
      <c r="B18" s="8" t="n">
        <f aca="false">B16+B17</f>
        <v>7300</v>
      </c>
      <c r="C18" s="8" t="n">
        <f aca="false">C16+C17</f>
        <v>7300</v>
      </c>
    </row>
    <row r="19" customFormat="false" ht="15" hidden="false" customHeight="false" outlineLevel="0" collapsed="false">
      <c r="A19" s="5" t="s">
        <v>19</v>
      </c>
      <c r="B19" s="6" t="n">
        <v>-1800</v>
      </c>
      <c r="C19" s="6" t="n">
        <v>-1800</v>
      </c>
    </row>
    <row r="20" customFormat="false" ht="15" hidden="false" customHeight="false" outlineLevel="0" collapsed="false">
      <c r="A20" s="7" t="s">
        <v>20</v>
      </c>
      <c r="B20" s="8" t="n">
        <f aca="false">B18+B19</f>
        <v>5500</v>
      </c>
      <c r="C20" s="8" t="n">
        <f aca="false">C18+C19</f>
        <v>5500</v>
      </c>
    </row>
    <row r="22" customFormat="false" ht="15" hidden="false" customHeight="false" outlineLevel="0" collapsed="false">
      <c r="A2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2026-08-28T00:06:11Z</dcterms:created>
  <dc:creator>openpyxl</dc:creator>
  <dc:description/>
  <dc:language>en-US</dc:language>
  <cp:lastModifiedBy/>
  <dcterms:modified xsi:type="dcterms:W3CDTF">2026-08-28T00:06:11Z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