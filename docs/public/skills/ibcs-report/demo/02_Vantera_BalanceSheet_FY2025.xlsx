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<sst xmlns="http://schemas.openxmlformats.org/spreadsheetml/2006/main" count="39" uniqueCount="39">
  <si>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Vantera Industrial Group AG — statement of financial position</t>
  </si>
  <si>
    <t xml:space="preserve">As at 31 December 2025 · all figures in TEUR · no budgeted balance sheet is maintained</t>
  </si>
  <si>
    <t xml:space="preserve">Line item</t>
  </si>
  <si>
    <t xml:space="preserve">AC 31-12-2025</t>
  </si>
  <si>
    <t xml:space="preserve">PY 31-12-2024</t>
  </si>
  <si>
    <t xml:space="preserve">ASSETS</t>
  </si>
  <si>
    <t xml:space="preserve">Intangible assets and goodwill</t>
  </si>
  <si>
    <t xml:space="preserve">Property, plant and equipment</t>
  </si>
  <si>
    <t xml:space="preserve">Right-of-use assets</t>
  </si>
  <si>
    <t xml:space="preserve">Deferred tax assets</t>
  </si>
  <si>
    <t xml:space="preserve">Other non-current assets</t>
  </si>
  <si>
    <t xml:space="preserve">Non-current assets</t>
  </si>
  <si>
    <t xml:space="preserve">Inventories</t>
  </si>
  <si>
    <t xml:space="preserve">Trade receivables</t>
  </si>
  <si>
    <t xml:space="preserve">Contract assets</t>
  </si>
  <si>
    <t xml:space="preserve">Other current assets</t>
  </si>
  <si>
    <t xml:space="preserve">Cash and cash equivalents</t>
  </si>
  <si>
    <t xml:space="preserve">Current assets</t>
  </si>
  <si>
    <t xml:space="preserve">Total assets</t>
  </si>
  <si>
    <t xml:space="preserve">EQUITY AND LIABILITIES</t>
  </si>
  <si>
    <t xml:space="preserve">Share capital</t>
  </si>
  <si>
    <t xml:space="preserve">Capital reserves</t>
  </si>
  <si>
    <t xml:space="preserve">Retained earnings</t>
  </si>
  <si>
    <t xml:space="preserve">Other reserves</t>
  </si>
  <si>
    <t xml:space="preserve">Non-controlling interests</t>
  </si>
  <si>
    <t xml:space="preserve">Total equity</t>
  </si>
  <si>
    <t xml:space="preserve">Non-current financial debt</t>
  </si>
  <si>
    <t xml:space="preserve">Lease liabilities (non-current)</t>
  </si>
  <si>
    <t xml:space="preserve">Pension provisions</t>
  </si>
  <si>
    <t xml:space="preserve">Deferred tax liabilities</t>
  </si>
  <si>
    <t xml:space="preserve">Other non-current provisions</t>
  </si>
  <si>
    <t xml:space="preserve">Non-current liabilities</t>
  </si>
  <si>
    <t xml:space="preserve">Current financial debt</t>
  </si>
  <si>
    <t xml:space="preserve">Lease liabilities (current)</t>
  </si>
  <si>
    <t xml:space="preserve">Trade payables</t>
  </si>
  <si>
    <t xml:space="preserve">Contract liabilities</t>
  </si>
  <si>
    <t xml:space="preserve">Other current liabilities</t>
  </si>
  <si>
    <t xml:space="preserve">Current liabilities</t>
  </si>
  <si>
    <t xml:space="preserve">Total equity and liabilities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</si>
</sst>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247"/>
      <name val="Arial"/>
      <family val="0"/>
      <charset val="1"/>
    </font>
    <font>
      <i val="true"/>
      <sz val="9"/>
      <color rgb="FF5A6B7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3247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247"/>
        <bgColor rgb="FF003366"/>
      </patternFill>
    </fill>
    <fill>
      <patternFill patternType="solid">
        <fgColor rgb="FFEDF0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24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F0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2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</row>
    <row r="6" customFormat="false" ht="15" hidden="false" customHeight="false" outlineLevel="0" collapsed="false">
      <c r="A6" s="6" t="s">
        <v>6</v>
      </c>
      <c r="B6" s="7" t="n">
        <v>48600</v>
      </c>
      <c r="C6" s="7" t="n">
        <v>46900</v>
      </c>
    </row>
    <row r="7" customFormat="false" ht="15" hidden="false" customHeight="false" outlineLevel="0" collapsed="false">
      <c r="A7" s="6" t="s">
        <v>7</v>
      </c>
      <c r="B7" s="7" t="n">
        <v>132400</v>
      </c>
      <c r="C7" s="7" t="n">
        <v>124800</v>
      </c>
    </row>
    <row r="8" customFormat="false" ht="15" hidden="false" customHeight="false" outlineLevel="0" collapsed="false">
      <c r="A8" s="6" t="s">
        <v>8</v>
      </c>
      <c r="B8" s="7" t="n">
        <v>18900</v>
      </c>
      <c r="C8" s="7" t="n">
        <v>19700</v>
      </c>
    </row>
    <row r="9" customFormat="false" ht="15" hidden="false" customHeight="false" outlineLevel="0" collapsed="false">
      <c r="A9" s="6" t="s">
        <v>9</v>
      </c>
      <c r="B9" s="7" t="n">
        <v>7300</v>
      </c>
      <c r="C9" s="7" t="n">
        <v>6800</v>
      </c>
    </row>
    <row r="10" customFormat="false" ht="15" hidden="false" customHeight="false" outlineLevel="0" collapsed="false">
      <c r="A10" s="6" t="s">
        <v>10</v>
      </c>
      <c r="B10" s="7" t="n">
        <v>4100</v>
      </c>
      <c r="C10" s="7" t="n">
        <v>3900</v>
      </c>
    </row>
    <row r="11" customFormat="false" ht="15" hidden="false" customHeight="false" outlineLevel="0" collapsed="false">
      <c r="A11" s="8" t="s">
        <v>11</v>
      </c>
      <c r="B11" s="9" t="n">
        <f aca="false">SUM(B6:B10)</f>
        <v>211300</v>
      </c>
      <c r="C11" s="9" t="n">
        <f aca="false">SUM(C6:C10)</f>
        <v>202100</v>
      </c>
    </row>
    <row r="12" customFormat="false" ht="15" hidden="false" customHeight="false" outlineLevel="0" collapsed="false">
      <c r="A12" s="6" t="s">
        <v>12</v>
      </c>
      <c r="B12" s="7" t="n">
        <v>96700</v>
      </c>
      <c r="C12" s="7" t="n">
        <v>78400</v>
      </c>
    </row>
    <row r="13" customFormat="false" ht="15" hidden="false" customHeight="false" outlineLevel="0" collapsed="false">
      <c r="A13" s="6" t="s">
        <v>13</v>
      </c>
      <c r="B13" s="7" t="n">
        <v>71800</v>
      </c>
      <c r="C13" s="7" t="n">
        <v>61300</v>
      </c>
    </row>
    <row r="14" customFormat="false" ht="15" hidden="false" customHeight="false" outlineLevel="0" collapsed="false">
      <c r="A14" s="6" t="s">
        <v>14</v>
      </c>
      <c r="B14" s="7" t="n">
        <v>12400</v>
      </c>
      <c r="C14" s="7" t="n">
        <v>10900</v>
      </c>
    </row>
    <row r="15" customFormat="false" ht="15" hidden="false" customHeight="false" outlineLevel="0" collapsed="false">
      <c r="A15" s="6" t="s">
        <v>15</v>
      </c>
      <c r="B15" s="7" t="n">
        <v>9600</v>
      </c>
      <c r="C15" s="7" t="n">
        <v>8700</v>
      </c>
    </row>
    <row r="16" customFormat="false" ht="15" hidden="false" customHeight="false" outlineLevel="0" collapsed="false">
      <c r="A16" s="6" t="s">
        <v>16</v>
      </c>
      <c r="B16" s="7" t="n">
        <v>34200</v>
      </c>
      <c r="C16" s="7" t="n">
        <v>41600</v>
      </c>
    </row>
    <row r="17" customFormat="false" ht="15" hidden="false" customHeight="false" outlineLevel="0" collapsed="false">
      <c r="A17" s="8" t="s">
        <v>17</v>
      </c>
      <c r="B17" s="9" t="n">
        <f aca="false">SUM(B12:B16)</f>
        <v>224700</v>
      </c>
      <c r="C17" s="9" t="n">
        <f aca="false">SUM(C12:C16)</f>
        <v>200900</v>
      </c>
    </row>
    <row r="18" customFormat="false" ht="15" hidden="false" customHeight="false" outlineLevel="0" collapsed="false">
      <c r="A18" s="8" t="s">
        <v>18</v>
      </c>
      <c r="B18" s="9" t="n">
        <f aca="false">B11+B17</f>
        <v>436000</v>
      </c>
      <c r="C18" s="9" t="n">
        <f aca="false">C11+C17</f>
        <v>403000</v>
      </c>
    </row>
    <row r="20" customFormat="false" ht="15" hidden="false" customHeight="false" outlineLevel="0" collapsed="false">
      <c r="A20" s="5" t="s">
        <v>19</v>
      </c>
    </row>
    <row r="21" customFormat="false" ht="15" hidden="false" customHeight="false" outlineLevel="0" collapsed="false">
      <c r="A21" s="6" t="s">
        <v>20</v>
      </c>
      <c r="B21" s="7" t="n">
        <v>40000</v>
      </c>
      <c r="C21" s="7" t="n">
        <v>40000</v>
      </c>
    </row>
    <row r="22" customFormat="false" ht="15" hidden="false" customHeight="false" outlineLevel="0" collapsed="false">
      <c r="A22" s="6" t="s">
        <v>21</v>
      </c>
      <c r="B22" s="7" t="n">
        <v>28500</v>
      </c>
      <c r="C22" s="7" t="n">
        <v>28500</v>
      </c>
    </row>
    <row r="23" customFormat="false" ht="15" hidden="false" customHeight="false" outlineLevel="0" collapsed="false">
      <c r="A23" s="6" t="s">
        <v>22</v>
      </c>
      <c r="B23" s="7" t="n">
        <v>137900</v>
      </c>
      <c r="C23" s="7" t="n">
        <v>112600</v>
      </c>
    </row>
    <row r="24" customFormat="false" ht="15" hidden="false" customHeight="false" outlineLevel="0" collapsed="false">
      <c r="A24" s="6" t="s">
        <v>23</v>
      </c>
      <c r="B24" s="7" t="n">
        <v>-4800</v>
      </c>
      <c r="C24" s="7" t="n">
        <v>-3100</v>
      </c>
    </row>
    <row r="25" customFormat="false" ht="15" hidden="false" customHeight="false" outlineLevel="0" collapsed="false">
      <c r="A25" s="6" t="s">
        <v>24</v>
      </c>
      <c r="B25" s="7" t="n">
        <v>3600</v>
      </c>
      <c r="C25" s="7" t="n">
        <v>3200</v>
      </c>
    </row>
    <row r="26" customFormat="false" ht="15" hidden="false" customHeight="false" outlineLevel="0" collapsed="false">
      <c r="A26" s="8" t="s">
        <v>25</v>
      </c>
      <c r="B26" s="9" t="n">
        <f aca="false">SUM(B21:B25)</f>
        <v>205200</v>
      </c>
      <c r="C26" s="9" t="n">
        <f aca="false">SUM(C21:C25)</f>
        <v>181200</v>
      </c>
    </row>
    <row r="27" customFormat="false" ht="15" hidden="false" customHeight="false" outlineLevel="0" collapsed="false">
      <c r="A27" s="6" t="s">
        <v>26</v>
      </c>
      <c r="B27" s="7" t="n">
        <v>88400</v>
      </c>
      <c r="C27" s="7" t="n">
        <v>84300</v>
      </c>
    </row>
    <row r="28" customFormat="false" ht="15" hidden="false" customHeight="false" outlineLevel="0" collapsed="false">
      <c r="A28" s="6" t="s">
        <v>27</v>
      </c>
      <c r="B28" s="7" t="n">
        <v>14200</v>
      </c>
      <c r="C28" s="7" t="n">
        <v>15100</v>
      </c>
    </row>
    <row r="29" customFormat="false" ht="15" hidden="false" customHeight="false" outlineLevel="0" collapsed="false">
      <c r="A29" s="6" t="s">
        <v>28</v>
      </c>
      <c r="B29" s="7" t="n">
        <v>21700</v>
      </c>
      <c r="C29" s="7" t="n">
        <v>20400</v>
      </c>
    </row>
    <row r="30" customFormat="false" ht="15" hidden="false" customHeight="false" outlineLevel="0" collapsed="false">
      <c r="A30" s="6" t="s">
        <v>29</v>
      </c>
      <c r="B30" s="7" t="n">
        <v>6900</v>
      </c>
      <c r="C30" s="7" t="n">
        <v>6300</v>
      </c>
    </row>
    <row r="31" customFormat="false" ht="15" hidden="false" customHeight="false" outlineLevel="0" collapsed="false">
      <c r="A31" s="6" t="s">
        <v>30</v>
      </c>
      <c r="B31" s="7" t="n">
        <v>5400</v>
      </c>
      <c r="C31" s="7" t="n">
        <v>5000</v>
      </c>
    </row>
    <row r="32" customFormat="false" ht="15" hidden="false" customHeight="false" outlineLevel="0" collapsed="false">
      <c r="A32" s="8" t="s">
        <v>31</v>
      </c>
      <c r="B32" s="9" t="n">
        <f aca="false">SUM(B27:B31)</f>
        <v>136600</v>
      </c>
      <c r="C32" s="9" t="n">
        <f aca="false">SUM(C27:C31)</f>
        <v>131100</v>
      </c>
    </row>
    <row r="33" customFormat="false" ht="15" hidden="false" customHeight="false" outlineLevel="0" collapsed="false">
      <c r="A33" s="6" t="s">
        <v>32</v>
      </c>
      <c r="B33" s="7" t="n">
        <v>21500</v>
      </c>
      <c r="C33" s="7" t="n">
        <v>24800</v>
      </c>
    </row>
    <row r="34" customFormat="false" ht="15" hidden="false" customHeight="false" outlineLevel="0" collapsed="false">
      <c r="A34" s="6" t="s">
        <v>33</v>
      </c>
      <c r="B34" s="7" t="n">
        <v>5100</v>
      </c>
      <c r="C34" s="7" t="n">
        <v>4900</v>
      </c>
    </row>
    <row r="35" customFormat="false" ht="15" hidden="false" customHeight="false" outlineLevel="0" collapsed="false">
      <c r="A35" s="6" t="s">
        <v>34</v>
      </c>
      <c r="B35" s="7" t="n">
        <v>42600</v>
      </c>
      <c r="C35" s="7" t="n">
        <v>40300</v>
      </c>
    </row>
    <row r="36" customFormat="false" ht="15" hidden="false" customHeight="false" outlineLevel="0" collapsed="false">
      <c r="A36" s="6" t="s">
        <v>35</v>
      </c>
      <c r="B36" s="7" t="n">
        <v>11300</v>
      </c>
      <c r="C36" s="7" t="n">
        <v>12700</v>
      </c>
    </row>
    <row r="37" customFormat="false" ht="15" hidden="false" customHeight="false" outlineLevel="0" collapsed="false">
      <c r="A37" s="6" t="s">
        <v>36</v>
      </c>
      <c r="B37" s="7" t="n">
        <v>13700</v>
      </c>
      <c r="C37" s="7" t="n">
        <v>8000</v>
      </c>
    </row>
    <row r="38" customFormat="false" ht="15" hidden="false" customHeight="false" outlineLevel="0" collapsed="false">
      <c r="A38" s="8" t="s">
        <v>37</v>
      </c>
      <c r="B38" s="9" t="n">
        <f aca="false">SUM(B33:B37)</f>
        <v>94200</v>
      </c>
      <c r="C38" s="9" t="n">
        <f aca="false">SUM(C33:C37)</f>
        <v>90700</v>
      </c>
    </row>
    <row r="39" customFormat="false" ht="15" hidden="false" customHeight="false" outlineLevel="0" collapsed="false">
      <c r="A39" s="8" t="s">
        <v>38</v>
      </c>
      <c r="B39" s="9" t="n">
        <f aca="false">B26+B32+B38</f>
        <v>436000</v>
      </c>
      <c r="C39" s="9" t="n">
        <f aca="false">C26+C32+C38</f>
        <v>403000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2026-08-28T00:06:11Z</dcterms:created>
  <dc:creator>openpyxl</dc:creator>
  <dc:description/>
  <dc:language>en-US</dc:language>
  <cp:lastModifiedBy/>
  <dcterms:modified xsi:type="dcterms:W3CDTF">2026-08-28T00:06:11Z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